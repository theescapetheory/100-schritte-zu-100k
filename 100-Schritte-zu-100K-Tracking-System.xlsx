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▸ Start hier" sheetId="1" state="visible" r:id="rId3"/>
    <sheet name="0 · Social Media" sheetId="2" state="visible" r:id="rId4"/>
    <sheet name="1 · Freebie-Funnel" sheetId="3" state="visible" r:id="rId5"/>
    <sheet name="2 · Erstgespräch-Funnel" sheetId="4" state="visible" r:id="rId6"/>
    <sheet name="3 · Webinar-Funnel" sheetId="5" state="visible" r:id="rId7"/>
    <sheet name="5 · Dein 100K-Reifegra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<sst xmlns="http://schemas.openxmlformats.org/spreadsheetml/2006/main" count="165" uniqueCount="112">
  <si>
    <t xml:space="preserve">100 SCHRITTE ZU 100K</t>
  </si>
  <si>
    <t xml:space="preserve">Dein Tracking-System auf dem Weg zum vollautomatisierten 100K-Business · The Escape Theory</t>
  </si>
  <si>
    <t xml:space="preserve">So funktioniert dieses System</t>
  </si>
  <si>
    <t xml:space="preserve">Ein erfolgreiches Online-Business wird in Stufen aufgebaut — von Sichtbarkeit bis zur Vollautomatisierung. Dieses Sheet trackt jede Stufe. Trag deine echten Zahlen ein und du siehst sofort, wo du stehst und was dir noch fehlt.</t>
  </si>
  <si>
    <t xml:space="preserve">Die Treppe</t>
  </si>
  <si>
    <t xml:space="preserve">0</t>
  </si>
  <si>
    <t xml:space="preserve">Sichtbarkeit (Social Media) — Du wirst organisch gesehen.</t>
  </si>
  <si>
    <t xml:space="preserve">→ Tab: 0 · Social Media</t>
  </si>
  <si>
    <t xml:space="preserve">1</t>
  </si>
  <si>
    <t xml:space="preserve">Leads sammeln (Freebie) — Du fängst Kontakte ein.</t>
  </si>
  <si>
    <t xml:space="preserve">→ Tab: 1 · Freebie-Funnel</t>
  </si>
  <si>
    <t xml:space="preserve">2</t>
  </si>
  <si>
    <t xml:space="preserve">Verkaufen (Erstgespräch / Webinar) — Du verkaufst — 1:1 oder 1:viele.</t>
  </si>
  <si>
    <t xml:space="preserve">→ Tabs: 2 · Erstgespräch / 3 · Webinar</t>
  </si>
  <si>
    <t xml:space="preserve">3</t>
  </si>
  <si>
    <t xml:space="preserve">Automatisieren (Evergreen) — Dein Funnel läuft ohne dich live.</t>
  </si>
  <si>
    <t xml:space="preserve">im Reifegrad-Tab bewertet</t>
  </si>
  <si>
    <t xml:space="preserve">4</t>
  </si>
  <si>
    <t xml:space="preserve">🏔  Vollautomatisiert = 100K — Mehrere Quellen, das System läuft.</t>
  </si>
  <si>
    <t xml:space="preserve">→ gebaut MIT The Escape Theory</t>
  </si>
  <si>
    <t xml:space="preserve">Farb-Legende</t>
  </si>
  <si>
    <t xml:space="preserve">Weiße Felder = du trägst ein (blaue Schrift)</t>
  </si>
  <si>
    <t xml:space="preserve">Beige Felder = rechnen sich automatisch</t>
  </si>
  <si>
    <t xml:space="preserve">Das große Ziel</t>
  </si>
  <si>
    <t xml:space="preserve">Ganz oben steht der vollautomatisierte Funnel — er macht Umsatz, während du lebst. Den baut kaum jemand allein. Genau dafür sind wir da.</t>
  </si>
  <si>
    <t xml:space="preserve">📅  Werte dein Tracking mit uns aus → kostenloses Strategiegespräch buchen</t>
  </si>
  <si>
    <t xml:space="preserve">0 · SICHTBARKEIT — Social Media</t>
  </si>
  <si>
    <t xml:space="preserve">Organische Reichweite &amp; wie viele Leads daraus entstehen. (Beispiel-Woche — überschreibbar)</t>
  </si>
  <si>
    <t xml:space="preserve">Datum</t>
  </si>
  <si>
    <t xml:space="preserve">KW</t>
  </si>
  <si>
    <t xml:space="preserve">Posts</t>
  </si>
  <si>
    <t xml:space="preserve">Reichweite</t>
  </si>
  <si>
    <t xml:space="preserve">Profil-aufrufe</t>
  </si>
  <si>
    <t xml:space="preserve">Neue Follower</t>
  </si>
  <si>
    <t xml:space="preserve">Anfragen / Leads (SM)</t>
  </si>
  <si>
    <t xml:space="preserve">Leads je 1.000 Reichw.</t>
  </si>
  <si>
    <t xml:space="preserve">Mo 02.06.</t>
  </si>
  <si>
    <t xml:space="preserve">Di 03.06.</t>
  </si>
  <si>
    <t xml:space="preserve">Mi 04.06.</t>
  </si>
  <si>
    <t xml:space="preserve">Do 05.06.</t>
  </si>
  <si>
    <t xml:space="preserve">Fr 06.06.</t>
  </si>
  <si>
    <t xml:space="preserve">Sa 07.06.</t>
  </si>
  <si>
    <t xml:space="preserve">So 08.06.</t>
  </si>
  <si>
    <t xml:space="preserve">Woche – Summe</t>
  </si>
  <si>
    <t xml:space="preserve">Zu viele Zahlen? Genau dafür ist das Strategiegespräch — wir werten es mit dir aus und bauen den automatisierten Funnel.  📅 Jetzt buchen →</t>
  </si>
  <si>
    <t xml:space="preserve">1 · LEADS SAMMELN — Freebie-Funnel</t>
  </si>
  <si>
    <t xml:space="preserve">Vom Klick zum Opt-in bis zum Low-Ticket-Sale. (Beispiel-Woche — überschreibbar)</t>
  </si>
  <si>
    <t xml:space="preserve">Werbe-kosten (€)</t>
  </si>
  <si>
    <t xml:space="preserve">Impres-sionen</t>
  </si>
  <si>
    <t xml:space="preserve">CPM (€)</t>
  </si>
  <si>
    <t xml:space="preserve">Link-Klicks</t>
  </si>
  <si>
    <t xml:space="preserve">CPC (€)</t>
  </si>
  <si>
    <t xml:space="preserve">LP-Aufrufe</t>
  </si>
  <si>
    <t xml:space="preserve">Opt-ins (Leads)</t>
  </si>
  <si>
    <t xml:space="preserve">CPL (€)</t>
  </si>
  <si>
    <t xml:space="preserve">Opt-in-Rate %</t>
  </si>
  <si>
    <t xml:space="preserve">Downloads</t>
  </si>
  <si>
    <t xml:space="preserve">Sales</t>
  </si>
  <si>
    <t xml:space="preserve">Umsatz (€)</t>
  </si>
  <si>
    <t xml:space="preserve">Cost/Sale (€)</t>
  </si>
  <si>
    <t xml:space="preserve">ROAS</t>
  </si>
  <si>
    <t xml:space="preserve">2 · VERKAUFEN — Erstgespräch-Funnel</t>
  </si>
  <si>
    <t xml:space="preserve">Vom Lead über Quali- &amp; Beratungsgespräch zum Abschluss. (Beispiel-Woche — überschreibbar)</t>
  </si>
  <si>
    <t xml:space="preserve">Formular-Aufrufe</t>
  </si>
  <si>
    <t xml:space="preserve">Leads</t>
  </si>
  <si>
    <t xml:space="preserve">Quali-Calls</t>
  </si>
  <si>
    <t xml:space="preserve">Beratungs-gespräche</t>
  </si>
  <si>
    <t xml:space="preserve">Show-up %</t>
  </si>
  <si>
    <t xml:space="preserve">Abschlüsse</t>
  </si>
  <si>
    <t xml:space="preserve">Abschluss-Rate %</t>
  </si>
  <si>
    <t xml:space="preserve">Kosten/ Abschluss (€)</t>
  </si>
  <si>
    <t xml:space="preserve">3 · VERKAUFEN — Webinar-Funnel</t>
  </si>
  <si>
    <t xml:space="preserve">Von der Anmeldung über Show-up &amp; Closing-Call zum Sale. (Beispiel-Woche — überschreibbar)</t>
  </si>
  <si>
    <t xml:space="preserve">Anmel-dungen</t>
  </si>
  <si>
    <t xml:space="preserve">CVR LP %</t>
  </si>
  <si>
    <t xml:space="preserve">Teil-nehmer</t>
  </si>
  <si>
    <t xml:space="preserve">Settings</t>
  </si>
  <si>
    <t xml:space="preserve">Closing-Calls</t>
  </si>
  <si>
    <t xml:space="preserve">CPA (€)</t>
  </si>
  <si>
    <t xml:space="preserve">DEIN 100K-REIFEGRAD</t>
  </si>
  <si>
    <t xml:space="preserve">So nah bist du am vollautomatisierten 100K-Business. Trag deine aktuellen Werte ein (blau).</t>
  </si>
  <si>
    <t xml:space="preserve">100K-Reifegrad
(Ø Zielerreichung über alle Stufen)</t>
  </si>
  <si>
    <t xml:space="preserve">Kennzahl</t>
  </si>
  <si>
    <t xml:space="preserve">Dein Wert</t>
  </si>
  <si>
    <t xml:space="preserve">Ziel (🟢 ab)</t>
  </si>
  <si>
    <t xml:space="preserve">Status</t>
  </si>
  <si>
    <t xml:space="preserve">Stufe 0 · Sichtbarkeit — Posts pro Woche</t>
  </si>
  <si>
    <t xml:space="preserve">   Leads aus Social Media / Monat</t>
  </si>
  <si>
    <t xml:space="preserve">Stufe 1 · Leads sammeln — Opt-in-Rate %</t>
  </si>
  <si>
    <t xml:space="preserve">   Opt-ins / Monat</t>
  </si>
  <si>
    <t xml:space="preserve">Stufe 2 · Verkaufen — Show-up-Rate %</t>
  </si>
  <si>
    <t xml:space="preserve">   Abschluss-Rate %</t>
  </si>
  <si>
    <t xml:space="preserve">Stufe 3 · Automatisieren — Funnel automatisiert? (1=ja / 0=nein)</t>
  </si>
  <si>
    <t xml:space="preserve">   ROAS (evergreen)</t>
  </si>
  <si>
    <t xml:space="preserve">Stufe 4 · 100K — Monatsumsatz (€)</t>
  </si>
  <si>
    <t xml:space="preserve">   Anzahl Lead-Quellen / Funnel</t>
  </si>
  <si>
    <t xml:space="preserve">Jedes 🔴 und 🟡 ist Umsatz, der dir gerade entgeht. Das große Ziel — der vollautomatisierte Funnel — schließt diese Lücken.</t>
  </si>
  <si>
    <t xml:space="preserve">📅  Lass uns deine Lücken im kostenlosen Strategiegespräch schließen → buchen</t>
  </si>
  <si>
    <t xml:space="preserve">KI-AUTOMATISIERUNGSGRAD JE STUFE</t>
  </si>
  <si>
    <t xml:space="preserve">Wie automatisiert läuft jede Stufe? Stufe 0–2: manuell / teils / voll. Stufe 3–4 (Evergreen/100K) sind per Definition automatisiert → ja / (leer).</t>
  </si>
  <si>
    <t xml:space="preserve">Stufe</t>
  </si>
  <si>
    <t xml:space="preserve">Status (manuell/teils/voll)</t>
  </si>
  <si>
    <t xml:space="preserve">KI-Grad</t>
  </si>
  <si>
    <t xml:space="preserve">Stufe 0 · Sichtbarkeit</t>
  </si>
  <si>
    <t xml:space="preserve">teils</t>
  </si>
  <si>
    <t xml:space="preserve">Stufe 1 · Leads sammeln</t>
  </si>
  <si>
    <t xml:space="preserve">manuell</t>
  </si>
  <si>
    <t xml:space="preserve">Stufe 2 · Verkaufen</t>
  </si>
  <si>
    <t xml:space="preserve">Stufe 3 · Automatisieren</t>
  </si>
  <si>
    <t xml:space="preserve">Stufe 4 · 100K</t>
  </si>
  <si>
    <t xml:space="preserve">KI-Automatisierungsgrad gesamt</t>
  </si>
  <si>
    <t xml:space="preserve">Jede Stufe, die noch 'manuell' läuft, ist ungenutztes KI-Potenzial — genau das bauen wir mit dir im Strategiegespräch.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</si>
</sst>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#,##0.0"/>
    <numFmt numFmtId="167" formatCode="#,##0.00&quot; €&quot;"/>
    <numFmt numFmtId="168" formatCode="0.0%"/>
    <numFmt numFmtId="169" formatCode="0.00\x"/>
    <numFmt numFmtId="170" formatCode="#,##0&quot; €&quot;"/>
    <numFmt numFmtId="171" formatCode="0\ 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FFFFFF"/>
      <name val="Arial"/>
      <family val="0"/>
      <charset val="1"/>
    </font>
    <font>
      <sz val="11"/>
      <color rgb="FFB3DDE9"/>
      <name val="Arial"/>
      <family val="0"/>
      <charset val="1"/>
    </font>
    <font>
      <b val="true"/>
      <sz val="15"/>
      <color rgb="FF0D1C32"/>
      <name val="Arial"/>
      <family val="0"/>
      <charset val="1"/>
    </font>
    <font>
      <sz val="10"/>
      <color rgb="FF111111"/>
      <name val="Arial"/>
      <family val="0"/>
      <charset val="1"/>
    </font>
    <font>
      <b val="true"/>
      <sz val="12"/>
      <color rgb="FF0D1C32"/>
      <name val="Arial"/>
      <family val="0"/>
      <charset val="1"/>
    </font>
    <font>
      <b val="true"/>
      <sz val="14"/>
      <color rgb="FFCDB08F"/>
      <name val="Arial"/>
      <family val="0"/>
      <charset val="1"/>
    </font>
    <font>
      <sz val="10"/>
      <color rgb="FF0D1C32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0D1C32"/>
      <name val="Arial"/>
      <family val="0"/>
      <charset val="1"/>
    </font>
    <font>
      <sz val="10"/>
      <color rgb="FF0000CC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10"/>
      <color rgb="FFB3DDE9"/>
      <name val="Arial"/>
      <family val="0"/>
      <charset val="1"/>
    </font>
    <font>
      <b val="true"/>
      <sz val="40"/>
      <color rgb="FFCDB08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CC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0D1C32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D1C32"/>
        <bgColor rgb="FF13263F"/>
      </patternFill>
    </fill>
    <fill>
      <patternFill patternType="solid">
        <fgColor rgb="FFF4F1EC"/>
        <bgColor rgb="FFF3E7D4"/>
      </patternFill>
    </fill>
    <fill>
      <patternFill patternType="solid">
        <fgColor rgb="FFFFFFFF"/>
        <bgColor rgb="FFF4F1EC"/>
      </patternFill>
    </fill>
    <fill>
      <patternFill patternType="solid">
        <fgColor rgb="FFCDB08F"/>
        <bgColor rgb="FF969696"/>
      </patternFill>
    </fill>
    <fill>
      <patternFill patternType="solid">
        <fgColor rgb="FF13263F"/>
        <bgColor rgb="FF0D1C32"/>
      </patternFill>
    </fill>
    <fill>
      <patternFill patternType="solid">
        <fgColor rgb="FFB3DDE9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8EFE3"/>
        </patternFill>
      </fill>
    </dxf>
    <dxf>
      <fill>
        <patternFill>
          <bgColor rgb="FFF3E7D4"/>
        </patternFill>
      </fill>
    </dxf>
    <dxf>
      <fill>
        <patternFill>
          <bgColor rgb="FFF6DAD4"/>
        </patternFill>
      </fill>
    </dxf>
  </dxf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DB08F"/>
      <rgbColor rgb="FF808080"/>
      <rgbColor rgb="FF9999FF"/>
      <rgbColor rgb="FF993366"/>
      <rgbColor rgb="FFF4F1E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FE3"/>
      <rgbColor rgb="FFF3E7D4"/>
      <rgbColor rgb="FFB3DDE9"/>
      <rgbColor rgb="FFFF99CC"/>
      <rgbColor rgb="FFCC99FF"/>
      <rgbColor rgb="FFF6DAD4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3263F"/>
      <rgbColor rgb="FF339966"/>
      <rgbColor rgb="FF0D1C32"/>
      <rgbColor rgb="FF111111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trategie.lovelifepassport.com/strategiejuni26?utm_source=leadmagnet&amp;utm_medium=sheet&amp;utm_campaign=100-schritte-zu-100k&amp;utm_content=tracking-sheet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strategie.lovelifepassport.com/strategiejuni26?utm_source=leadmagnet&amp;utm_medium=sheet&amp;utm_campaign=100-schritte-zu-100k&amp;utm_content=tracking-sheet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strategie.lovelifepassport.com/strategiejuni26?utm_source=leadmagnet&amp;utm_medium=sheet&amp;utm_campaign=100-schritte-zu-100k&amp;utm_content=tracking-sheet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strategie.lovelifepassport.com/strategiejuni26?utm_source=leadmagnet&amp;utm_medium=sheet&amp;utm_campaign=100-schritte-zu-100k&amp;utm_content=tracking-sheet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strategie.lovelifepassport.com/strategiejuni26?utm_source=leadmagnet&amp;utm_medium=sheet&amp;utm_campaign=100-schritte-zu-100k&amp;utm_content=tracking-sheet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strategie.lovelifepassport.com/strategiejuni26?utm_source=leadmagnet&amp;utm_medium=sheet&amp;utm_campaign=100-schritte-zu-100k&amp;utm_content=tracking-shee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6" min="2" style="1" width="26"/>
    <col collapsed="false" customWidth="true" hidden="false" outlineLevel="0" max="7" min="7" style="1" width="3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  <c r="G1" s="2"/>
    </row>
    <row r="2" customFormat="false" ht="37.5" hidden="false" customHeight="true" outlineLevel="0" collapsed="false">
      <c r="A2" s="2"/>
      <c r="B2" s="3" t="s">
        <v>0</v>
      </c>
      <c r="C2" s="3"/>
      <c r="D2" s="3"/>
      <c r="E2" s="3"/>
      <c r="F2" s="3"/>
      <c r="G2" s="2"/>
    </row>
    <row r="3" customFormat="false" ht="21.75" hidden="false" customHeight="true" outlineLevel="0" collapsed="false">
      <c r="A3" s="2"/>
      <c r="B3" s="4" t="s">
        <v>1</v>
      </c>
      <c r="C3" s="4"/>
      <c r="D3" s="4"/>
      <c r="E3" s="4"/>
      <c r="F3" s="4"/>
      <c r="G3" s="2"/>
    </row>
    <row r="5" customFormat="false" ht="18" hidden="false" customHeight="true" outlineLevel="0" collapsed="false">
      <c r="B5" s="5" t="s">
        <v>2</v>
      </c>
      <c r="C5" s="5"/>
      <c r="D5" s="5"/>
      <c r="E5" s="5"/>
      <c r="F5" s="5"/>
    </row>
    <row r="6" customFormat="false" ht="57.75" hidden="false" customHeight="true" outlineLevel="0" collapsed="false">
      <c r="B6" s="6" t="s">
        <v>3</v>
      </c>
      <c r="C6" s="6"/>
      <c r="D6" s="6"/>
      <c r="E6" s="6"/>
      <c r="F6" s="6"/>
    </row>
    <row r="8" customFormat="false" ht="15" hidden="false" customHeight="true" outlineLevel="0" collapsed="false">
      <c r="B8" s="7" t="s">
        <v>4</v>
      </c>
    </row>
    <row r="9" customFormat="false" ht="25.5" hidden="false" customHeight="true" outlineLevel="0" collapsed="false">
      <c r="B9" s="8" t="s">
        <v>5</v>
      </c>
      <c r="C9" s="9" t="s">
        <v>6</v>
      </c>
      <c r="D9" s="9"/>
      <c r="E9" s="10" t="s">
        <v>7</v>
      </c>
      <c r="F9" s="10"/>
    </row>
    <row r="10" customFormat="false" ht="25.5" hidden="false" customHeight="true" outlineLevel="0" collapsed="false">
      <c r="B10" s="8" t="s">
        <v>8</v>
      </c>
      <c r="C10" s="9" t="s">
        <v>9</v>
      </c>
      <c r="D10" s="9"/>
      <c r="E10" s="10" t="s">
        <v>10</v>
      </c>
      <c r="F10" s="10"/>
    </row>
    <row r="11" customFormat="false" ht="25.5" hidden="false" customHeight="true" outlineLevel="0" collapsed="false">
      <c r="B11" s="8" t="s">
        <v>11</v>
      </c>
      <c r="C11" s="9" t="s">
        <v>12</v>
      </c>
      <c r="D11" s="9"/>
      <c r="E11" s="10" t="s">
        <v>13</v>
      </c>
      <c r="F11" s="10"/>
    </row>
    <row r="12" customFormat="false" ht="25.5" hidden="false" customHeight="true" outlineLevel="0" collapsed="false">
      <c r="B12" s="8" t="s">
        <v>14</v>
      </c>
      <c r="C12" s="9" t="s">
        <v>15</v>
      </c>
      <c r="D12" s="9"/>
      <c r="E12" s="10" t="s">
        <v>16</v>
      </c>
      <c r="F12" s="10"/>
    </row>
    <row r="13" customFormat="false" ht="25.5" hidden="false" customHeight="true" outlineLevel="0" collapsed="false">
      <c r="B13" s="8" t="s">
        <v>17</v>
      </c>
      <c r="C13" s="11" t="s">
        <v>18</v>
      </c>
      <c r="D13" s="11"/>
      <c r="E13" s="10" t="s">
        <v>19</v>
      </c>
      <c r="F13" s="10"/>
    </row>
    <row r="15" customFormat="false" ht="15" hidden="false" customHeight="true" outlineLevel="0" collapsed="false">
      <c r="B15" s="12" t="s">
        <v>20</v>
      </c>
      <c r="C15" s="12"/>
      <c r="D15" s="12"/>
      <c r="E15" s="12"/>
      <c r="F15" s="12"/>
    </row>
    <row r="16" customFormat="false" ht="15" hidden="false" customHeight="true" outlineLevel="0" collapsed="false">
      <c r="B16" s="13"/>
      <c r="C16" s="14" t="s">
        <v>21</v>
      </c>
      <c r="D16" s="14"/>
      <c r="E16" s="14"/>
      <c r="F16" s="14"/>
    </row>
    <row r="17" customFormat="false" ht="15" hidden="false" customHeight="true" outlineLevel="0" collapsed="false">
      <c r="B17" s="15"/>
      <c r="C17" s="6" t="s">
        <v>22</v>
      </c>
      <c r="D17" s="6"/>
      <c r="E17" s="6"/>
      <c r="F17" s="6"/>
    </row>
    <row r="19" customFormat="false" ht="15" hidden="false" customHeight="true" outlineLevel="0" collapsed="false">
      <c r="B19" s="12" t="s">
        <v>23</v>
      </c>
      <c r="C19" s="12"/>
      <c r="D19" s="12"/>
      <c r="E19" s="12"/>
      <c r="F19" s="12"/>
    </row>
    <row r="20" customFormat="false" ht="43.5" hidden="false" customHeight="true" outlineLevel="0" collapsed="false">
      <c r="B20" s="6" t="s">
        <v>24</v>
      </c>
      <c r="C20" s="6"/>
      <c r="D20" s="6"/>
      <c r="E20" s="6"/>
      <c r="F20" s="6"/>
    </row>
    <row r="22" customFormat="false" ht="33.75" hidden="false" customHeight="true" outlineLevel="0" collapsed="false">
      <c r="B22" s="16" t="s">
        <v>25</v>
      </c>
      <c r="C22" s="16"/>
      <c r="D22" s="16"/>
      <c r="E22" s="16"/>
      <c r="F22" s="16"/>
    </row>
  </sheetData>
  <mergeCells count="20">
    <mergeCell ref="B2:F2"/>
    <mergeCell ref="B3:F3"/>
    <mergeCell ref="B5:F5"/>
    <mergeCell ref="B6:F6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E13:F13"/>
    <mergeCell ref="B15:F15"/>
    <mergeCell ref="C16:F16"/>
    <mergeCell ref="C17:F17"/>
    <mergeCell ref="B19:F19"/>
    <mergeCell ref="B20:F20"/>
    <mergeCell ref="B22:F22"/>
  </mergeCells>
  <hyperlinks>
    <hyperlink ref="B22" r:id="rId1" display="📅  Werte dein Tracking mit uns aus → kostenloses Strategiegespräch buch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6"/>
    <col collapsed="false" customWidth="true" hidden="false" outlineLevel="0" max="3" min="3" style="1" width="8"/>
    <col collapsed="false" customWidth="true" hidden="false" outlineLevel="0" max="4" min="4" style="1" width="12"/>
    <col collapsed="false" customWidth="true" hidden="false" outlineLevel="0" max="6" min="5" style="1" width="11"/>
    <col collapsed="false" customWidth="true" hidden="false" outlineLevel="0" max="8" min="7" style="1" width="12"/>
  </cols>
  <sheetData>
    <row r="1" customFormat="false" ht="30" hidden="false" customHeight="true" outlineLevel="0" collapsed="false">
      <c r="A1" s="17" t="s">
        <v>26</v>
      </c>
      <c r="B1" s="17"/>
      <c r="C1" s="17"/>
      <c r="D1" s="17"/>
      <c r="E1" s="17"/>
      <c r="F1" s="17"/>
      <c r="G1" s="17"/>
      <c r="H1" s="17"/>
    </row>
    <row r="2" customFormat="false" ht="15" hidden="false" customHeight="true" outlineLevel="0" collapsed="false">
      <c r="A2" s="18" t="s">
        <v>27</v>
      </c>
      <c r="B2" s="18"/>
      <c r="C2" s="18"/>
      <c r="D2" s="18"/>
      <c r="E2" s="18"/>
      <c r="F2" s="18"/>
      <c r="G2" s="18"/>
      <c r="H2" s="18"/>
    </row>
    <row r="4" customFormat="false" ht="30" hidden="false" customHeight="true" outlineLevel="0" collapsed="false">
      <c r="A4" s="19" t="s">
        <v>28</v>
      </c>
      <c r="B4" s="19" t="s">
        <v>29</v>
      </c>
      <c r="C4" s="19" t="s">
        <v>30</v>
      </c>
      <c r="D4" s="19" t="s">
        <v>31</v>
      </c>
      <c r="E4" s="19" t="s">
        <v>32</v>
      </c>
      <c r="F4" s="19" t="s">
        <v>33</v>
      </c>
      <c r="G4" s="19" t="s">
        <v>34</v>
      </c>
      <c r="H4" s="19" t="s">
        <v>35</v>
      </c>
    </row>
    <row r="5" customFormat="false" ht="15" hidden="false" customHeight="true" outlineLevel="0" collapsed="false">
      <c r="A5" s="20" t="s">
        <v>36</v>
      </c>
      <c r="B5" s="21" t="n">
        <v>23</v>
      </c>
      <c r="C5" s="21" t="n">
        <v>2</v>
      </c>
      <c r="D5" s="21" t="n">
        <v>1850</v>
      </c>
      <c r="E5" s="21" t="n">
        <v>95</v>
      </c>
      <c r="F5" s="21" t="n">
        <v>11</v>
      </c>
      <c r="G5" s="21" t="n">
        <v>2</v>
      </c>
      <c r="H5" s="22" t="n">
        <f aca="false">IFERROR(G5/D5*1000,0)</f>
        <v>1.08108108108108</v>
      </c>
    </row>
    <row r="6" customFormat="false" ht="15" hidden="false" customHeight="true" outlineLevel="0" collapsed="false">
      <c r="A6" s="20" t="s">
        <v>37</v>
      </c>
      <c r="B6" s="21" t="n">
        <v>23</v>
      </c>
      <c r="C6" s="21" t="n">
        <v>1</v>
      </c>
      <c r="D6" s="21" t="n">
        <v>1240</v>
      </c>
      <c r="E6" s="21" t="n">
        <v>61</v>
      </c>
      <c r="F6" s="21" t="n">
        <v>6</v>
      </c>
      <c r="G6" s="21" t="n">
        <v>1</v>
      </c>
      <c r="H6" s="22" t="n">
        <f aca="false">IFERROR(G6/D6*1000,0)</f>
        <v>0.806451612903226</v>
      </c>
    </row>
    <row r="7" customFormat="false" ht="15" hidden="false" customHeight="true" outlineLevel="0" collapsed="false">
      <c r="A7" s="20" t="s">
        <v>38</v>
      </c>
      <c r="B7" s="21" t="n">
        <v>23</v>
      </c>
      <c r="C7" s="21" t="n">
        <v>2</v>
      </c>
      <c r="D7" s="21" t="n">
        <v>2380</v>
      </c>
      <c r="E7" s="21" t="n">
        <v>120</v>
      </c>
      <c r="F7" s="21" t="n">
        <v>14</v>
      </c>
      <c r="G7" s="21" t="n">
        <v>3</v>
      </c>
      <c r="H7" s="22" t="n">
        <f aca="false">IFERROR(G7/D7*1000,0)</f>
        <v>1.26050420168067</v>
      </c>
    </row>
    <row r="8" customFormat="false" ht="15" hidden="false" customHeight="true" outlineLevel="0" collapsed="false">
      <c r="A8" s="20" t="s">
        <v>39</v>
      </c>
      <c r="B8" s="21" t="n">
        <v>23</v>
      </c>
      <c r="C8" s="21" t="n">
        <v>1</v>
      </c>
      <c r="D8" s="21" t="n">
        <v>980</v>
      </c>
      <c r="E8" s="21" t="n">
        <v>44</v>
      </c>
      <c r="F8" s="21" t="n">
        <v>4</v>
      </c>
      <c r="G8" s="21" t="n">
        <v>0</v>
      </c>
      <c r="H8" s="22" t="n">
        <f aca="false">IFERROR(G8/D8*1000,0)</f>
        <v>0</v>
      </c>
    </row>
    <row r="9" customFormat="false" ht="15" hidden="false" customHeight="true" outlineLevel="0" collapsed="false">
      <c r="A9" s="20" t="s">
        <v>40</v>
      </c>
      <c r="B9" s="21" t="n">
        <v>23</v>
      </c>
      <c r="C9" s="21" t="n">
        <v>2</v>
      </c>
      <c r="D9" s="21" t="n">
        <v>2100</v>
      </c>
      <c r="E9" s="21" t="n">
        <v>108</v>
      </c>
      <c r="F9" s="21" t="n">
        <v>12</v>
      </c>
      <c r="G9" s="21" t="n">
        <v>2</v>
      </c>
      <c r="H9" s="22" t="n">
        <f aca="false">IFERROR(G9/D9*1000,0)</f>
        <v>0.952380952380952</v>
      </c>
    </row>
    <row r="10" customFormat="false" ht="15" hidden="false" customHeight="true" outlineLevel="0" collapsed="false">
      <c r="A10" s="20" t="s">
        <v>41</v>
      </c>
      <c r="B10" s="21" t="n">
        <v>23</v>
      </c>
      <c r="C10" s="21" t="n">
        <v>1</v>
      </c>
      <c r="D10" s="21" t="n">
        <v>760</v>
      </c>
      <c r="E10" s="21" t="n">
        <v>33</v>
      </c>
      <c r="F10" s="21" t="n">
        <v>3</v>
      </c>
      <c r="G10" s="21" t="n">
        <v>1</v>
      </c>
      <c r="H10" s="22" t="n">
        <f aca="false">IFERROR(G10/D10*1000,0)</f>
        <v>1.31578947368421</v>
      </c>
    </row>
    <row r="11" customFormat="false" ht="15" hidden="false" customHeight="true" outlineLevel="0" collapsed="false">
      <c r="A11" s="20" t="s">
        <v>42</v>
      </c>
      <c r="B11" s="21" t="n">
        <v>23</v>
      </c>
      <c r="C11" s="21" t="n">
        <v>1</v>
      </c>
      <c r="D11" s="21" t="n">
        <v>1320</v>
      </c>
      <c r="E11" s="21" t="n">
        <v>70</v>
      </c>
      <c r="F11" s="21" t="n">
        <v>7</v>
      </c>
      <c r="G11" s="21" t="n">
        <v>1</v>
      </c>
      <c r="H11" s="22" t="n">
        <f aca="false">IFERROR(G11/D11*1000,0)</f>
        <v>0.757575757575758</v>
      </c>
    </row>
    <row r="12" customFormat="false" ht="23.25" hidden="false" customHeight="true" outlineLevel="0" collapsed="false">
      <c r="A12" s="23" t="s">
        <v>43</v>
      </c>
      <c r="B12" s="23"/>
      <c r="C12" s="24" t="n">
        <f aca="false">SUM(C5:C11)</f>
        <v>10</v>
      </c>
      <c r="D12" s="24" t="n">
        <f aca="false">SUM(D5:D11)</f>
        <v>10630</v>
      </c>
      <c r="E12" s="24" t="n">
        <f aca="false">SUM(E5:E11)</f>
        <v>531</v>
      </c>
      <c r="F12" s="24" t="n">
        <f aca="false">SUM(F5:F11)</f>
        <v>57</v>
      </c>
      <c r="G12" s="24" t="n">
        <f aca="false">SUM(G5:G11)</f>
        <v>10</v>
      </c>
      <c r="H12" s="25" t="n">
        <f aca="false">IFERROR(G12/D12*1000,0)</f>
        <v>0.940733772342427</v>
      </c>
    </row>
    <row r="14" customFormat="false" ht="27.75" hidden="false" customHeight="true" outlineLevel="0" collapsed="false">
      <c r="A14" s="26" t="s">
        <v>44</v>
      </c>
      <c r="B14" s="26"/>
      <c r="C14" s="26"/>
      <c r="D14" s="26"/>
      <c r="E14" s="26"/>
      <c r="F14" s="26"/>
      <c r="G14" s="26"/>
      <c r="H14" s="26"/>
    </row>
  </sheetData>
  <mergeCells count="3">
    <mergeCell ref="A1:H1"/>
    <mergeCell ref="A2:H2"/>
    <mergeCell ref="A14:H14"/>
  </mergeCells>
  <hyperlinks>
    <hyperlink ref="A14" r:id="rId1" display="Zu viele Zahlen? Genau dafür ist das Strategiegespräch — wir werten es mit dir aus und bauen den automatisierten Funnel.  📅 Jetzt buchen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6"/>
    <col collapsed="false" customWidth="true" hidden="false" outlineLevel="0" max="4" min="3" style="1" width="11"/>
    <col collapsed="false" customWidth="true" hidden="false" outlineLevel="0" max="12" min="5" style="1" width="9"/>
    <col collapsed="false" customWidth="true" hidden="false" outlineLevel="0" max="13" min="13" style="1" width="7"/>
    <col collapsed="false" customWidth="true" hidden="false" outlineLevel="0" max="14" min="14" style="1" width="11"/>
    <col collapsed="false" customWidth="true" hidden="false" outlineLevel="0" max="15" min="15" style="1" width="10"/>
    <col collapsed="false" customWidth="true" hidden="false" outlineLevel="0" max="16" min="16" style="1" width="8"/>
  </cols>
  <sheetData>
    <row r="1" customFormat="false" ht="30" hidden="false" customHeight="true" outlineLevel="0" collapsed="false">
      <c r="A1" s="17" t="s">
        <v>45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customFormat="false" ht="15" hidden="false" customHeight="true" outlineLevel="0" collapsed="false">
      <c r="A2" s="18" t="s">
        <v>46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4" customFormat="false" ht="30" hidden="false" customHeight="true" outlineLevel="0" collapsed="false">
      <c r="A4" s="19" t="s">
        <v>28</v>
      </c>
      <c r="B4" s="19" t="s">
        <v>29</v>
      </c>
      <c r="C4" s="19" t="s">
        <v>47</v>
      </c>
      <c r="D4" s="19" t="s">
        <v>48</v>
      </c>
      <c r="E4" s="19" t="s">
        <v>49</v>
      </c>
      <c r="F4" s="19" t="s">
        <v>50</v>
      </c>
      <c r="G4" s="19" t="s">
        <v>51</v>
      </c>
      <c r="H4" s="19" t="s">
        <v>52</v>
      </c>
      <c r="I4" s="19" t="s">
        <v>53</v>
      </c>
      <c r="J4" s="19" t="s">
        <v>54</v>
      </c>
      <c r="K4" s="19" t="s">
        <v>55</v>
      </c>
      <c r="L4" s="19" t="s">
        <v>56</v>
      </c>
      <c r="M4" s="19" t="s">
        <v>57</v>
      </c>
      <c r="N4" s="19" t="s">
        <v>58</v>
      </c>
      <c r="O4" s="19" t="s">
        <v>59</v>
      </c>
      <c r="P4" s="19" t="s">
        <v>60</v>
      </c>
    </row>
    <row r="5" customFormat="false" ht="15" hidden="false" customHeight="true" outlineLevel="0" collapsed="false">
      <c r="A5" s="20" t="s">
        <v>36</v>
      </c>
      <c r="B5" s="21" t="n">
        <v>23</v>
      </c>
      <c r="C5" s="27" t="n">
        <v>25</v>
      </c>
      <c r="D5" s="21" t="n">
        <v>4200</v>
      </c>
      <c r="E5" s="28" t="n">
        <f aca="false">IFERROR(C5/D5*1000,0)</f>
        <v>5.95238095238095</v>
      </c>
      <c r="F5" s="21" t="n">
        <v>98</v>
      </c>
      <c r="G5" s="28" t="n">
        <f aca="false">IFERROR(C5/F5,0)</f>
        <v>0.255102040816327</v>
      </c>
      <c r="H5" s="21" t="n">
        <v>82</v>
      </c>
      <c r="I5" s="21" t="n">
        <v>26</v>
      </c>
      <c r="J5" s="28" t="n">
        <f aca="false">IFERROR(C5/I5,0)</f>
        <v>0.961538461538462</v>
      </c>
      <c r="K5" s="29" t="n">
        <f aca="false">IFERROR(I5/H5,0)</f>
        <v>0.317073170731707</v>
      </c>
      <c r="L5" s="21" t="n">
        <v>21</v>
      </c>
      <c r="M5" s="21" t="n">
        <v>1</v>
      </c>
      <c r="N5" s="27" t="n">
        <v>29</v>
      </c>
      <c r="O5" s="28" t="n">
        <f aca="false">IFERROR(C5/M5,0)</f>
        <v>25</v>
      </c>
      <c r="P5" s="30" t="n">
        <f aca="false">IFERROR(N5/C5,0)</f>
        <v>1.16</v>
      </c>
    </row>
    <row r="6" customFormat="false" ht="15" hidden="false" customHeight="true" outlineLevel="0" collapsed="false">
      <c r="A6" s="20" t="s">
        <v>37</v>
      </c>
      <c r="B6" s="21" t="n">
        <v>23</v>
      </c>
      <c r="C6" s="27" t="n">
        <v>22</v>
      </c>
      <c r="D6" s="21" t="n">
        <v>3800</v>
      </c>
      <c r="E6" s="28" t="n">
        <f aca="false">IFERROR(C6/D6*1000,0)</f>
        <v>5.78947368421053</v>
      </c>
      <c r="F6" s="21" t="n">
        <v>76</v>
      </c>
      <c r="G6" s="28" t="n">
        <f aca="false">IFERROR(C6/F6,0)</f>
        <v>0.289473684210526</v>
      </c>
      <c r="H6" s="21" t="n">
        <v>61</v>
      </c>
      <c r="I6" s="21" t="n">
        <v>18</v>
      </c>
      <c r="J6" s="28" t="n">
        <f aca="false">IFERROR(C6/I6,0)</f>
        <v>1.22222222222222</v>
      </c>
      <c r="K6" s="29" t="n">
        <f aca="false">IFERROR(I6/H6,0)</f>
        <v>0.295081967213115</v>
      </c>
      <c r="L6" s="21" t="n">
        <v>15</v>
      </c>
      <c r="M6" s="21" t="n">
        <v>0</v>
      </c>
      <c r="N6" s="27" t="n">
        <v>0</v>
      </c>
      <c r="O6" s="28" t="n">
        <f aca="false">IFERROR(C6/M6,0)</f>
        <v>0</v>
      </c>
      <c r="P6" s="30" t="n">
        <f aca="false">IFERROR(N6/C6,0)</f>
        <v>0</v>
      </c>
    </row>
    <row r="7" customFormat="false" ht="15" hidden="false" customHeight="true" outlineLevel="0" collapsed="false">
      <c r="A7" s="20" t="s">
        <v>38</v>
      </c>
      <c r="B7" s="21" t="n">
        <v>23</v>
      </c>
      <c r="C7" s="27" t="n">
        <v>28</v>
      </c>
      <c r="D7" s="21" t="n">
        <v>5100</v>
      </c>
      <c r="E7" s="28" t="n">
        <f aca="false">IFERROR(C7/D7*1000,0)</f>
        <v>5.49019607843137</v>
      </c>
      <c r="F7" s="21" t="n">
        <v>112</v>
      </c>
      <c r="G7" s="28" t="n">
        <f aca="false">IFERROR(C7/F7,0)</f>
        <v>0.25</v>
      </c>
      <c r="H7" s="21" t="n">
        <v>95</v>
      </c>
      <c r="I7" s="21" t="n">
        <v>31</v>
      </c>
      <c r="J7" s="28" t="n">
        <f aca="false">IFERROR(C7/I7,0)</f>
        <v>0.903225806451613</v>
      </c>
      <c r="K7" s="29" t="n">
        <f aca="false">IFERROR(I7/H7,0)</f>
        <v>0.326315789473684</v>
      </c>
      <c r="L7" s="21" t="n">
        <v>25</v>
      </c>
      <c r="M7" s="21" t="n">
        <v>2</v>
      </c>
      <c r="N7" s="27" t="n">
        <v>58</v>
      </c>
      <c r="O7" s="28" t="n">
        <f aca="false">IFERROR(C7/M7,0)</f>
        <v>14</v>
      </c>
      <c r="P7" s="30" t="n">
        <f aca="false">IFERROR(N7/C7,0)</f>
        <v>2.07142857142857</v>
      </c>
    </row>
    <row r="8" customFormat="false" ht="15" hidden="false" customHeight="true" outlineLevel="0" collapsed="false">
      <c r="A8" s="20" t="s">
        <v>39</v>
      </c>
      <c r="B8" s="21" t="n">
        <v>23</v>
      </c>
      <c r="C8" s="27" t="n">
        <v>20</v>
      </c>
      <c r="D8" s="21" t="n">
        <v>3300</v>
      </c>
      <c r="E8" s="28" t="n">
        <f aca="false">IFERROR(C8/D8*1000,0)</f>
        <v>6.06060606060606</v>
      </c>
      <c r="F8" s="21" t="n">
        <v>64</v>
      </c>
      <c r="G8" s="28" t="n">
        <f aca="false">IFERROR(C8/F8,0)</f>
        <v>0.3125</v>
      </c>
      <c r="H8" s="21" t="n">
        <v>55</v>
      </c>
      <c r="I8" s="21" t="n">
        <v>16</v>
      </c>
      <c r="J8" s="28" t="n">
        <f aca="false">IFERROR(C8/I8,0)</f>
        <v>1.25</v>
      </c>
      <c r="K8" s="29" t="n">
        <f aca="false">IFERROR(I8/H8,0)</f>
        <v>0.290909090909091</v>
      </c>
      <c r="L8" s="21" t="n">
        <v>13</v>
      </c>
      <c r="M8" s="21" t="n">
        <v>0</v>
      </c>
      <c r="N8" s="27" t="n">
        <v>0</v>
      </c>
      <c r="O8" s="28" t="n">
        <f aca="false">IFERROR(C8/M8,0)</f>
        <v>0</v>
      </c>
      <c r="P8" s="30" t="n">
        <f aca="false">IFERROR(N8/C8,0)</f>
        <v>0</v>
      </c>
    </row>
    <row r="9" customFormat="false" ht="15" hidden="false" customHeight="true" outlineLevel="0" collapsed="false">
      <c r="A9" s="20" t="s">
        <v>40</v>
      </c>
      <c r="B9" s="21" t="n">
        <v>23</v>
      </c>
      <c r="C9" s="27" t="n">
        <v>26</v>
      </c>
      <c r="D9" s="21" t="n">
        <v>4600</v>
      </c>
      <c r="E9" s="28" t="n">
        <f aca="false">IFERROR(C9/D9*1000,0)</f>
        <v>5.65217391304348</v>
      </c>
      <c r="F9" s="21" t="n">
        <v>104</v>
      </c>
      <c r="G9" s="28" t="n">
        <f aca="false">IFERROR(C9/F9,0)</f>
        <v>0.25</v>
      </c>
      <c r="H9" s="21" t="n">
        <v>88</v>
      </c>
      <c r="I9" s="21" t="n">
        <v>27</v>
      </c>
      <c r="J9" s="28" t="n">
        <f aca="false">IFERROR(C9/I9,0)</f>
        <v>0.962962962962963</v>
      </c>
      <c r="K9" s="29" t="n">
        <f aca="false">IFERROR(I9/H9,0)</f>
        <v>0.306818181818182</v>
      </c>
      <c r="L9" s="21" t="n">
        <v>22</v>
      </c>
      <c r="M9" s="21" t="n">
        <v>1</v>
      </c>
      <c r="N9" s="27" t="n">
        <v>29</v>
      </c>
      <c r="O9" s="28" t="n">
        <f aca="false">IFERROR(C9/M9,0)</f>
        <v>26</v>
      </c>
      <c r="P9" s="30" t="n">
        <f aca="false">IFERROR(N9/C9,0)</f>
        <v>1.11538461538462</v>
      </c>
    </row>
    <row r="10" customFormat="false" ht="15" hidden="false" customHeight="true" outlineLevel="0" collapsed="false">
      <c r="A10" s="20" t="s">
        <v>41</v>
      </c>
      <c r="B10" s="21" t="n">
        <v>23</v>
      </c>
      <c r="C10" s="27" t="n">
        <v>18</v>
      </c>
      <c r="D10" s="21" t="n">
        <v>2900</v>
      </c>
      <c r="E10" s="28" t="n">
        <f aca="false">IFERROR(C10/D10*1000,0)</f>
        <v>6.20689655172414</v>
      </c>
      <c r="F10" s="21" t="n">
        <v>58</v>
      </c>
      <c r="G10" s="28" t="n">
        <f aca="false">IFERROR(C10/F10,0)</f>
        <v>0.310344827586207</v>
      </c>
      <c r="H10" s="21" t="n">
        <v>47</v>
      </c>
      <c r="I10" s="21" t="n">
        <v>14</v>
      </c>
      <c r="J10" s="28" t="n">
        <f aca="false">IFERROR(C10/I10,0)</f>
        <v>1.28571428571429</v>
      </c>
      <c r="K10" s="29" t="n">
        <f aca="false">IFERROR(I10/H10,0)</f>
        <v>0.297872340425532</v>
      </c>
      <c r="L10" s="21" t="n">
        <v>11</v>
      </c>
      <c r="M10" s="21" t="n">
        <v>0</v>
      </c>
      <c r="N10" s="27" t="n">
        <v>0</v>
      </c>
      <c r="O10" s="28" t="n">
        <f aca="false">IFERROR(C10/M10,0)</f>
        <v>0</v>
      </c>
      <c r="P10" s="30" t="n">
        <f aca="false">IFERROR(N10/C10,0)</f>
        <v>0</v>
      </c>
    </row>
    <row r="11" customFormat="false" ht="15" hidden="false" customHeight="true" outlineLevel="0" collapsed="false">
      <c r="A11" s="20" t="s">
        <v>42</v>
      </c>
      <c r="B11" s="21" t="n">
        <v>23</v>
      </c>
      <c r="C11" s="27" t="n">
        <v>24</v>
      </c>
      <c r="D11" s="21" t="n">
        <v>4000</v>
      </c>
      <c r="E11" s="28" t="n">
        <f aca="false">IFERROR(C11/D11*1000,0)</f>
        <v>6</v>
      </c>
      <c r="F11" s="21" t="n">
        <v>90</v>
      </c>
      <c r="G11" s="28" t="n">
        <f aca="false">IFERROR(C11/F11,0)</f>
        <v>0.266666666666667</v>
      </c>
      <c r="H11" s="21" t="n">
        <v>73</v>
      </c>
      <c r="I11" s="21" t="n">
        <v>23</v>
      </c>
      <c r="J11" s="28" t="n">
        <f aca="false">IFERROR(C11/I11,0)</f>
        <v>1.04347826086957</v>
      </c>
      <c r="K11" s="29" t="n">
        <f aca="false">IFERROR(I11/H11,0)</f>
        <v>0.315068493150685</v>
      </c>
      <c r="L11" s="21" t="n">
        <v>19</v>
      </c>
      <c r="M11" s="21" t="n">
        <v>1</v>
      </c>
      <c r="N11" s="27" t="n">
        <v>29</v>
      </c>
      <c r="O11" s="28" t="n">
        <f aca="false">IFERROR(C11/M11,0)</f>
        <v>24</v>
      </c>
      <c r="P11" s="30" t="n">
        <f aca="false">IFERROR(N11/C11,0)</f>
        <v>1.20833333333333</v>
      </c>
    </row>
    <row r="12" customFormat="false" ht="23.25" hidden="false" customHeight="true" outlineLevel="0" collapsed="false">
      <c r="A12" s="23" t="s">
        <v>43</v>
      </c>
      <c r="B12" s="23"/>
      <c r="C12" s="31" t="n">
        <f aca="false">SUM(C5:C11)</f>
        <v>163</v>
      </c>
      <c r="D12" s="24" t="n">
        <f aca="false">SUM(D5:D11)</f>
        <v>27900</v>
      </c>
      <c r="E12" s="31" t="n">
        <f aca="false">IFERROR(C12/D12*1000,0)</f>
        <v>5.84229390681004</v>
      </c>
      <c r="F12" s="24" t="n">
        <f aca="false">SUM(F5:F11)</f>
        <v>602</v>
      </c>
      <c r="G12" s="31" t="n">
        <f aca="false">IFERROR(C12/F12,0)</f>
        <v>0.270764119601329</v>
      </c>
      <c r="H12" s="24" t="n">
        <f aca="false">SUM(H5:H11)</f>
        <v>501</v>
      </c>
      <c r="I12" s="24" t="n">
        <f aca="false">SUM(I5:I11)</f>
        <v>155</v>
      </c>
      <c r="J12" s="31" t="n">
        <f aca="false">IFERROR(C12/I12,0)</f>
        <v>1.05161290322581</v>
      </c>
      <c r="K12" s="32" t="n">
        <f aca="false">IFERROR(I12/H12,0)</f>
        <v>0.30938123752495</v>
      </c>
      <c r="L12" s="24" t="n">
        <f aca="false">SUM(L5:L11)</f>
        <v>126</v>
      </c>
      <c r="M12" s="24" t="n">
        <f aca="false">SUM(M5:M11)</f>
        <v>5</v>
      </c>
      <c r="N12" s="31" t="n">
        <f aca="false">SUM(N5:N11)</f>
        <v>145</v>
      </c>
      <c r="O12" s="31" t="n">
        <f aca="false">IFERROR(C12/M12,0)</f>
        <v>32.6</v>
      </c>
      <c r="P12" s="33" t="n">
        <f aca="false">IFERROR(N12/C12,0)</f>
        <v>0.889570552147239</v>
      </c>
    </row>
    <row r="14" customFormat="false" ht="27.75" hidden="false" customHeight="true" outlineLevel="0" collapsed="false">
      <c r="A14" s="26" t="s">
        <v>44</v>
      </c>
      <c r="B14" s="26"/>
      <c r="C14" s="26"/>
      <c r="D14" s="26"/>
      <c r="E14" s="26"/>
      <c r="F14" s="26"/>
      <c r="G14" s="26"/>
      <c r="H14" s="26"/>
    </row>
  </sheetData>
  <mergeCells count="3">
    <mergeCell ref="A1:P1"/>
    <mergeCell ref="A2:P2"/>
    <mergeCell ref="A14:H14"/>
  </mergeCells>
  <hyperlinks>
    <hyperlink ref="A14" r:id="rId1" display="Zu viele Zahlen? Genau dafür ist das Strategiegespräch — wir werten es mit dir aus und bauen den automatisierten Funnel.  📅 Jetzt buchen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6"/>
    <col collapsed="false" customWidth="true" hidden="false" outlineLevel="0" max="4" min="3" style="1" width="11"/>
    <col collapsed="false" customWidth="true" hidden="false" outlineLevel="0" max="7" min="5" style="1" width="9"/>
    <col collapsed="false" customWidth="true" hidden="false" outlineLevel="0" max="8" min="8" style="1" width="10"/>
    <col collapsed="false" customWidth="true" hidden="false" outlineLevel="0" max="9" min="9" style="1" width="8"/>
    <col collapsed="false" customWidth="true" hidden="false" outlineLevel="0" max="11" min="10" style="1" width="9"/>
    <col collapsed="false" customWidth="true" hidden="false" outlineLevel="0" max="12" min="12" style="1" width="11"/>
    <col collapsed="false" customWidth="true" hidden="false" outlineLevel="0" max="15" min="13" style="1" width="9"/>
    <col collapsed="false" customWidth="true" hidden="false" outlineLevel="0" max="17" min="16" style="1" width="11"/>
    <col collapsed="false" customWidth="true" hidden="false" outlineLevel="0" max="18" min="18" style="1" width="8"/>
  </cols>
  <sheetData>
    <row r="1" customFormat="false" ht="30" hidden="false" customHeight="true" outlineLevel="0" collapsed="false">
      <c r="A1" s="17" t="s">
        <v>61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customFormat="false" ht="15" hidden="false" customHeight="true" outlineLevel="0" collapsed="false">
      <c r="A2" s="18" t="s">
        <v>62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4" customFormat="false" ht="30" hidden="false" customHeight="true" outlineLevel="0" collapsed="false">
      <c r="A4" s="19" t="s">
        <v>28</v>
      </c>
      <c r="B4" s="19" t="s">
        <v>29</v>
      </c>
      <c r="C4" s="19" t="s">
        <v>47</v>
      </c>
      <c r="D4" s="19" t="s">
        <v>48</v>
      </c>
      <c r="E4" s="19" t="s">
        <v>49</v>
      </c>
      <c r="F4" s="19" t="s">
        <v>50</v>
      </c>
      <c r="G4" s="19" t="s">
        <v>51</v>
      </c>
      <c r="H4" s="19" t="s">
        <v>63</v>
      </c>
      <c r="I4" s="19" t="s">
        <v>64</v>
      </c>
      <c r="J4" s="19" t="s">
        <v>54</v>
      </c>
      <c r="K4" s="19" t="s">
        <v>65</v>
      </c>
      <c r="L4" s="19" t="s">
        <v>66</v>
      </c>
      <c r="M4" s="19" t="s">
        <v>67</v>
      </c>
      <c r="N4" s="19" t="s">
        <v>68</v>
      </c>
      <c r="O4" s="19" t="s">
        <v>69</v>
      </c>
      <c r="P4" s="19" t="s">
        <v>70</v>
      </c>
      <c r="Q4" s="19" t="s">
        <v>58</v>
      </c>
      <c r="R4" s="19" t="s">
        <v>60</v>
      </c>
    </row>
    <row r="5" customFormat="false" ht="15" hidden="false" customHeight="true" outlineLevel="0" collapsed="false">
      <c r="A5" s="20" t="s">
        <v>36</v>
      </c>
      <c r="B5" s="21" t="n">
        <v>23</v>
      </c>
      <c r="C5" s="27" t="n">
        <v>60</v>
      </c>
      <c r="D5" s="21" t="n">
        <v>5200</v>
      </c>
      <c r="E5" s="28" t="n">
        <f aca="false">IFERROR(C5/D5*1000,0)</f>
        <v>11.5384615384615</v>
      </c>
      <c r="F5" s="21" t="n">
        <v>72</v>
      </c>
      <c r="G5" s="28" t="n">
        <f aca="false">IFERROR(C5/F5,0)</f>
        <v>0.833333333333333</v>
      </c>
      <c r="H5" s="21" t="n">
        <v>30</v>
      </c>
      <c r="I5" s="21" t="n">
        <v>6</v>
      </c>
      <c r="J5" s="28" t="n">
        <f aca="false">IFERROR(C5/I5,0)</f>
        <v>10</v>
      </c>
      <c r="K5" s="21" t="n">
        <v>4</v>
      </c>
      <c r="L5" s="21" t="n">
        <v>2</v>
      </c>
      <c r="M5" s="29" t="n">
        <f aca="false">IFERROR(L5/K5,0)</f>
        <v>0.5</v>
      </c>
      <c r="N5" s="21" t="n">
        <v>1</v>
      </c>
      <c r="O5" s="29" t="n">
        <f aca="false">IFERROR(N5/L5,0)</f>
        <v>0.5</v>
      </c>
      <c r="P5" s="28" t="n">
        <f aca="false">IFERROR(C5/N5,0)</f>
        <v>60</v>
      </c>
      <c r="Q5" s="34" t="n">
        <v>2500</v>
      </c>
      <c r="R5" s="30" t="n">
        <f aca="false">IFERROR(Q5/C5,0)</f>
        <v>41.6666666666667</v>
      </c>
    </row>
    <row r="6" customFormat="false" ht="15" hidden="false" customHeight="true" outlineLevel="0" collapsed="false">
      <c r="A6" s="20" t="s">
        <v>37</v>
      </c>
      <c r="B6" s="21" t="n">
        <v>23</v>
      </c>
      <c r="C6" s="27" t="n">
        <v>55</v>
      </c>
      <c r="D6" s="21" t="n">
        <v>4800</v>
      </c>
      <c r="E6" s="28" t="n">
        <f aca="false">IFERROR(C6/D6*1000,0)</f>
        <v>11.4583333333333</v>
      </c>
      <c r="F6" s="21" t="n">
        <v>64</v>
      </c>
      <c r="G6" s="28" t="n">
        <f aca="false">IFERROR(C6/F6,0)</f>
        <v>0.859375</v>
      </c>
      <c r="H6" s="21" t="n">
        <v>26</v>
      </c>
      <c r="I6" s="21" t="n">
        <v>5</v>
      </c>
      <c r="J6" s="28" t="n">
        <f aca="false">IFERROR(C6/I6,0)</f>
        <v>11</v>
      </c>
      <c r="K6" s="21" t="n">
        <v>3</v>
      </c>
      <c r="L6" s="21" t="n">
        <v>1</v>
      </c>
      <c r="M6" s="29" t="n">
        <f aca="false">IFERROR(L6/K6,0)</f>
        <v>0.333333333333333</v>
      </c>
      <c r="N6" s="21" t="n">
        <v>0</v>
      </c>
      <c r="O6" s="29" t="n">
        <f aca="false">IFERROR(N6/L6,0)</f>
        <v>0</v>
      </c>
      <c r="P6" s="28" t="n">
        <f aca="false">IFERROR(C6/N6,0)</f>
        <v>0</v>
      </c>
      <c r="Q6" s="34" t="n">
        <v>0</v>
      </c>
      <c r="R6" s="30" t="n">
        <f aca="false">IFERROR(Q6/C6,0)</f>
        <v>0</v>
      </c>
    </row>
    <row r="7" customFormat="false" ht="15" hidden="false" customHeight="true" outlineLevel="0" collapsed="false">
      <c r="A7" s="20" t="s">
        <v>38</v>
      </c>
      <c r="B7" s="21" t="n">
        <v>23</v>
      </c>
      <c r="C7" s="27" t="n">
        <v>70</v>
      </c>
      <c r="D7" s="21" t="n">
        <v>6100</v>
      </c>
      <c r="E7" s="28" t="n">
        <f aca="false">IFERROR(C7/D7*1000,0)</f>
        <v>11.4754098360656</v>
      </c>
      <c r="F7" s="21" t="n">
        <v>85</v>
      </c>
      <c r="G7" s="28" t="n">
        <f aca="false">IFERROR(C7/F7,0)</f>
        <v>0.823529411764706</v>
      </c>
      <c r="H7" s="21" t="n">
        <v>38</v>
      </c>
      <c r="I7" s="21" t="n">
        <v>8</v>
      </c>
      <c r="J7" s="28" t="n">
        <f aca="false">IFERROR(C7/I7,0)</f>
        <v>8.75</v>
      </c>
      <c r="K7" s="21" t="n">
        <v>5</v>
      </c>
      <c r="L7" s="21" t="n">
        <v>3</v>
      </c>
      <c r="M7" s="29" t="n">
        <f aca="false">IFERROR(L7/K7,0)</f>
        <v>0.6</v>
      </c>
      <c r="N7" s="21" t="n">
        <v>1</v>
      </c>
      <c r="O7" s="29" t="n">
        <f aca="false">IFERROR(N7/L7,0)</f>
        <v>0.333333333333333</v>
      </c>
      <c r="P7" s="28" t="n">
        <f aca="false">IFERROR(C7/N7,0)</f>
        <v>70</v>
      </c>
      <c r="Q7" s="34" t="n">
        <v>2500</v>
      </c>
      <c r="R7" s="30" t="n">
        <f aca="false">IFERROR(Q7/C7,0)</f>
        <v>35.7142857142857</v>
      </c>
    </row>
    <row r="8" customFormat="false" ht="15" hidden="false" customHeight="true" outlineLevel="0" collapsed="false">
      <c r="A8" s="20" t="s">
        <v>39</v>
      </c>
      <c r="B8" s="21" t="n">
        <v>23</v>
      </c>
      <c r="C8" s="27" t="n">
        <v>50</v>
      </c>
      <c r="D8" s="21" t="n">
        <v>4300</v>
      </c>
      <c r="E8" s="28" t="n">
        <f aca="false">IFERROR(C8/D8*1000,0)</f>
        <v>11.6279069767442</v>
      </c>
      <c r="F8" s="21" t="n">
        <v>58</v>
      </c>
      <c r="G8" s="28" t="n">
        <f aca="false">IFERROR(C8/F8,0)</f>
        <v>0.862068965517241</v>
      </c>
      <c r="H8" s="21" t="n">
        <v>22</v>
      </c>
      <c r="I8" s="21" t="n">
        <v>4</v>
      </c>
      <c r="J8" s="28" t="n">
        <f aca="false">IFERROR(C8/I8,0)</f>
        <v>12.5</v>
      </c>
      <c r="K8" s="21" t="n">
        <v>3</v>
      </c>
      <c r="L8" s="21" t="n">
        <v>1</v>
      </c>
      <c r="M8" s="29" t="n">
        <f aca="false">IFERROR(L8/K8,0)</f>
        <v>0.333333333333333</v>
      </c>
      <c r="N8" s="21" t="n">
        <v>0</v>
      </c>
      <c r="O8" s="29" t="n">
        <f aca="false">IFERROR(N8/L8,0)</f>
        <v>0</v>
      </c>
      <c r="P8" s="28" t="n">
        <f aca="false">IFERROR(C8/N8,0)</f>
        <v>0</v>
      </c>
      <c r="Q8" s="34" t="n">
        <v>0</v>
      </c>
      <c r="R8" s="30" t="n">
        <f aca="false">IFERROR(Q8/C8,0)</f>
        <v>0</v>
      </c>
    </row>
    <row r="9" customFormat="false" ht="15" hidden="false" customHeight="true" outlineLevel="0" collapsed="false">
      <c r="A9" s="20" t="s">
        <v>40</v>
      </c>
      <c r="B9" s="21" t="n">
        <v>23</v>
      </c>
      <c r="C9" s="27" t="n">
        <v>65</v>
      </c>
      <c r="D9" s="21" t="n">
        <v>5600</v>
      </c>
      <c r="E9" s="28" t="n">
        <f aca="false">IFERROR(C9/D9*1000,0)</f>
        <v>11.6071428571429</v>
      </c>
      <c r="F9" s="21" t="n">
        <v>78</v>
      </c>
      <c r="G9" s="28" t="n">
        <f aca="false">IFERROR(C9/F9,0)</f>
        <v>0.833333333333333</v>
      </c>
      <c r="H9" s="21" t="n">
        <v>34</v>
      </c>
      <c r="I9" s="21" t="n">
        <v>7</v>
      </c>
      <c r="J9" s="28" t="n">
        <f aca="false">IFERROR(C9/I9,0)</f>
        <v>9.28571428571429</v>
      </c>
      <c r="K9" s="21" t="n">
        <v>5</v>
      </c>
      <c r="L9" s="21" t="n">
        <v>2</v>
      </c>
      <c r="M9" s="29" t="n">
        <f aca="false">IFERROR(L9/K9,0)</f>
        <v>0.4</v>
      </c>
      <c r="N9" s="21" t="n">
        <v>1</v>
      </c>
      <c r="O9" s="29" t="n">
        <f aca="false">IFERROR(N9/L9,0)</f>
        <v>0.5</v>
      </c>
      <c r="P9" s="28" t="n">
        <f aca="false">IFERROR(C9/N9,0)</f>
        <v>65</v>
      </c>
      <c r="Q9" s="34" t="n">
        <v>2500</v>
      </c>
      <c r="R9" s="30" t="n">
        <f aca="false">IFERROR(Q9/C9,0)</f>
        <v>38.4615384615385</v>
      </c>
    </row>
    <row r="10" customFormat="false" ht="15" hidden="false" customHeight="true" outlineLevel="0" collapsed="false">
      <c r="A10" s="20" t="s">
        <v>41</v>
      </c>
      <c r="B10" s="21" t="n">
        <v>23</v>
      </c>
      <c r="C10" s="27" t="n">
        <v>45</v>
      </c>
      <c r="D10" s="21" t="n">
        <v>3900</v>
      </c>
      <c r="E10" s="28" t="n">
        <f aca="false">IFERROR(C10/D10*1000,0)</f>
        <v>11.5384615384615</v>
      </c>
      <c r="F10" s="21" t="n">
        <v>52</v>
      </c>
      <c r="G10" s="28" t="n">
        <f aca="false">IFERROR(C10/F10,0)</f>
        <v>0.865384615384615</v>
      </c>
      <c r="H10" s="21" t="n">
        <v>19</v>
      </c>
      <c r="I10" s="21" t="n">
        <v>3</v>
      </c>
      <c r="J10" s="28" t="n">
        <f aca="false">IFERROR(C10/I10,0)</f>
        <v>15</v>
      </c>
      <c r="K10" s="21" t="n">
        <v>2</v>
      </c>
      <c r="L10" s="21" t="n">
        <v>1</v>
      </c>
      <c r="M10" s="29" t="n">
        <f aca="false">IFERROR(L10/K10,0)</f>
        <v>0.5</v>
      </c>
      <c r="N10" s="21" t="n">
        <v>0</v>
      </c>
      <c r="O10" s="29" t="n">
        <f aca="false">IFERROR(N10/L10,0)</f>
        <v>0</v>
      </c>
      <c r="P10" s="28" t="n">
        <f aca="false">IFERROR(C10/N10,0)</f>
        <v>0</v>
      </c>
      <c r="Q10" s="34" t="n">
        <v>0</v>
      </c>
      <c r="R10" s="30" t="n">
        <f aca="false">IFERROR(Q10/C10,0)</f>
        <v>0</v>
      </c>
    </row>
    <row r="11" customFormat="false" ht="15" hidden="false" customHeight="true" outlineLevel="0" collapsed="false">
      <c r="A11" s="20" t="s">
        <v>42</v>
      </c>
      <c r="B11" s="21" t="n">
        <v>23</v>
      </c>
      <c r="C11" s="27" t="n">
        <v>58</v>
      </c>
      <c r="D11" s="21" t="n">
        <v>5000</v>
      </c>
      <c r="E11" s="28" t="n">
        <f aca="false">IFERROR(C11/D11*1000,0)</f>
        <v>11.6</v>
      </c>
      <c r="F11" s="21" t="n">
        <v>68</v>
      </c>
      <c r="G11" s="28" t="n">
        <f aca="false">IFERROR(C11/F11,0)</f>
        <v>0.852941176470588</v>
      </c>
      <c r="H11" s="21" t="n">
        <v>28</v>
      </c>
      <c r="I11" s="21" t="n">
        <v>5</v>
      </c>
      <c r="J11" s="28" t="n">
        <f aca="false">IFERROR(C11/I11,0)</f>
        <v>11.6</v>
      </c>
      <c r="K11" s="21" t="n">
        <v>4</v>
      </c>
      <c r="L11" s="21" t="n">
        <v>2</v>
      </c>
      <c r="M11" s="29" t="n">
        <f aca="false">IFERROR(L11/K11,0)</f>
        <v>0.5</v>
      </c>
      <c r="N11" s="21" t="n">
        <v>0</v>
      </c>
      <c r="O11" s="29" t="n">
        <f aca="false">IFERROR(N11/L11,0)</f>
        <v>0</v>
      </c>
      <c r="P11" s="28" t="n">
        <f aca="false">IFERROR(C11/N11,0)</f>
        <v>0</v>
      </c>
      <c r="Q11" s="34" t="n">
        <v>0</v>
      </c>
      <c r="R11" s="30" t="n">
        <f aca="false">IFERROR(Q11/C11,0)</f>
        <v>0</v>
      </c>
    </row>
    <row r="12" customFormat="false" ht="23.25" hidden="false" customHeight="true" outlineLevel="0" collapsed="false">
      <c r="A12" s="23" t="s">
        <v>43</v>
      </c>
      <c r="B12" s="23"/>
      <c r="C12" s="31" t="n">
        <f aca="false">SUM(C5:C11)</f>
        <v>403</v>
      </c>
      <c r="D12" s="24" t="n">
        <f aca="false">SUM(D5:D11)</f>
        <v>34900</v>
      </c>
      <c r="E12" s="31" t="n">
        <f aca="false">IFERROR(C12/D12*1000,0)</f>
        <v>11.5472779369628</v>
      </c>
      <c r="F12" s="24" t="n">
        <f aca="false">SUM(F5:F11)</f>
        <v>477</v>
      </c>
      <c r="G12" s="31" t="n">
        <f aca="false">IFERROR(C12/F12,0)</f>
        <v>0.844863731656184</v>
      </c>
      <c r="H12" s="24" t="n">
        <f aca="false">SUM(H5:H11)</f>
        <v>197</v>
      </c>
      <c r="I12" s="24" t="n">
        <f aca="false">SUM(I5:I11)</f>
        <v>38</v>
      </c>
      <c r="J12" s="31" t="n">
        <f aca="false">IFERROR(C12/I12,0)</f>
        <v>10.6052631578947</v>
      </c>
      <c r="K12" s="24" t="n">
        <f aca="false">SUM(K5:K11)</f>
        <v>26</v>
      </c>
      <c r="L12" s="24" t="n">
        <f aca="false">SUM(L5:L11)</f>
        <v>12</v>
      </c>
      <c r="M12" s="32" t="n">
        <f aca="false">IFERROR(L12/K12,0)</f>
        <v>0.461538461538462</v>
      </c>
      <c r="N12" s="24" t="n">
        <f aca="false">SUM(N5:N11)</f>
        <v>3</v>
      </c>
      <c r="O12" s="32" t="n">
        <f aca="false">IFERROR(N12/L12,0)</f>
        <v>0.25</v>
      </c>
      <c r="P12" s="31" t="n">
        <f aca="false">IFERROR(C12/N12,0)</f>
        <v>134.333333333333</v>
      </c>
      <c r="Q12" s="35" t="n">
        <f aca="false">SUM(Q5:Q11)</f>
        <v>7500</v>
      </c>
      <c r="R12" s="33" t="n">
        <f aca="false">IFERROR(Q12/C12,0)</f>
        <v>18.6104218362283</v>
      </c>
    </row>
    <row r="14" customFormat="false" ht="27.75" hidden="false" customHeight="true" outlineLevel="0" collapsed="false">
      <c r="A14" s="26" t="s">
        <v>44</v>
      </c>
      <c r="B14" s="26"/>
      <c r="C14" s="26"/>
      <c r="D14" s="26"/>
      <c r="E14" s="26"/>
      <c r="F14" s="26"/>
      <c r="G14" s="26"/>
      <c r="H14" s="26"/>
    </row>
  </sheetData>
  <mergeCells count="3">
    <mergeCell ref="A1:R1"/>
    <mergeCell ref="A2:R2"/>
    <mergeCell ref="A14:H14"/>
  </mergeCells>
  <hyperlinks>
    <hyperlink ref="A14" r:id="rId1" display="Zu viele Zahlen? Genau dafür ist das Strategiegespräch — wir werten es mit dir aus und bauen den automatisierten Funnel.  📅 Jetzt buchen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6"/>
    <col collapsed="false" customWidth="true" hidden="false" outlineLevel="0" max="4" min="3" style="1" width="11"/>
    <col collapsed="false" customWidth="true" hidden="false" outlineLevel="0" max="13" min="5" style="1" width="9"/>
    <col collapsed="false" customWidth="true" hidden="false" outlineLevel="0" max="14" min="14" style="1" width="8"/>
    <col collapsed="false" customWidth="true" hidden="false" outlineLevel="0" max="15" min="15" style="1" width="9"/>
    <col collapsed="false" customWidth="true" hidden="false" outlineLevel="0" max="16" min="16" style="1" width="7"/>
    <col collapsed="false" customWidth="true" hidden="false" outlineLevel="0" max="17" min="17" style="1" width="10"/>
    <col collapsed="false" customWidth="true" hidden="false" outlineLevel="0" max="18" min="18" style="1" width="11"/>
    <col collapsed="false" customWidth="true" hidden="false" outlineLevel="0" max="19" min="19" style="1" width="8"/>
  </cols>
  <sheetData>
    <row r="1" customFormat="false" ht="30" hidden="false" customHeight="true" outlineLevel="0" collapsed="false">
      <c r="A1" s="17" t="s">
        <v>71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customFormat="false" ht="15" hidden="false" customHeight="true" outlineLevel="0" collapsed="false">
      <c r="A2" s="18" t="s">
        <v>72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4" customFormat="false" ht="30" hidden="false" customHeight="true" outlineLevel="0" collapsed="false">
      <c r="A4" s="19" t="s">
        <v>28</v>
      </c>
      <c r="B4" s="19" t="s">
        <v>29</v>
      </c>
      <c r="C4" s="19" t="s">
        <v>47</v>
      </c>
      <c r="D4" s="19" t="s">
        <v>48</v>
      </c>
      <c r="E4" s="19" t="s">
        <v>49</v>
      </c>
      <c r="F4" s="19" t="s">
        <v>50</v>
      </c>
      <c r="G4" s="19" t="s">
        <v>51</v>
      </c>
      <c r="H4" s="19" t="s">
        <v>52</v>
      </c>
      <c r="I4" s="19" t="s">
        <v>73</v>
      </c>
      <c r="J4" s="19" t="s">
        <v>54</v>
      </c>
      <c r="K4" s="19" t="s">
        <v>74</v>
      </c>
      <c r="L4" s="19" t="s">
        <v>75</v>
      </c>
      <c r="M4" s="19" t="s">
        <v>67</v>
      </c>
      <c r="N4" s="19" t="s">
        <v>76</v>
      </c>
      <c r="O4" s="19" t="s">
        <v>77</v>
      </c>
      <c r="P4" s="19" t="s">
        <v>57</v>
      </c>
      <c r="Q4" s="19" t="s">
        <v>78</v>
      </c>
      <c r="R4" s="19" t="s">
        <v>58</v>
      </c>
      <c r="S4" s="19" t="s">
        <v>60</v>
      </c>
    </row>
    <row r="5" customFormat="false" ht="15" hidden="false" customHeight="true" outlineLevel="0" collapsed="false">
      <c r="A5" s="20" t="s">
        <v>36</v>
      </c>
      <c r="B5" s="21" t="n">
        <v>23</v>
      </c>
      <c r="C5" s="27" t="n">
        <v>55</v>
      </c>
      <c r="D5" s="21" t="n">
        <v>5000</v>
      </c>
      <c r="E5" s="28" t="n">
        <f aca="false">IFERROR(C5/D5*1000,0)</f>
        <v>11</v>
      </c>
      <c r="F5" s="21" t="n">
        <v>70</v>
      </c>
      <c r="G5" s="28" t="n">
        <f aca="false">IFERROR(C5/F5,0)</f>
        <v>0.785714285714286</v>
      </c>
      <c r="H5" s="21" t="n">
        <v>66</v>
      </c>
      <c r="I5" s="21" t="n">
        <v>22</v>
      </c>
      <c r="J5" s="28" t="n">
        <f aca="false">IFERROR(C5/I5,0)</f>
        <v>2.5</v>
      </c>
      <c r="K5" s="29" t="n">
        <f aca="false">IFERROR(I5/H5,0)</f>
        <v>0.333333333333333</v>
      </c>
      <c r="L5" s="21" t="n">
        <v>9</v>
      </c>
      <c r="M5" s="29" t="n">
        <f aca="false">IFERROR(L5/I5,0)</f>
        <v>0.409090909090909</v>
      </c>
      <c r="N5" s="21" t="n">
        <v>3</v>
      </c>
      <c r="O5" s="21" t="n">
        <v>2</v>
      </c>
      <c r="P5" s="21" t="n">
        <v>1</v>
      </c>
      <c r="Q5" s="28" t="n">
        <f aca="false">IFERROR(C5/P5,0)</f>
        <v>55</v>
      </c>
      <c r="R5" s="34" t="n">
        <v>1997</v>
      </c>
      <c r="S5" s="30" t="n">
        <f aca="false">IFERROR(R5/C5,0)</f>
        <v>36.3090909090909</v>
      </c>
    </row>
    <row r="6" customFormat="false" ht="15" hidden="false" customHeight="true" outlineLevel="0" collapsed="false">
      <c r="A6" s="20" t="s">
        <v>37</v>
      </c>
      <c r="B6" s="21" t="n">
        <v>23</v>
      </c>
      <c r="C6" s="27" t="n">
        <v>48</v>
      </c>
      <c r="D6" s="21" t="n">
        <v>4400</v>
      </c>
      <c r="E6" s="28" t="n">
        <f aca="false">IFERROR(C6/D6*1000,0)</f>
        <v>10.9090909090909</v>
      </c>
      <c r="F6" s="21" t="n">
        <v>60</v>
      </c>
      <c r="G6" s="28" t="n">
        <f aca="false">IFERROR(C6/F6,0)</f>
        <v>0.8</v>
      </c>
      <c r="H6" s="21" t="n">
        <v>55</v>
      </c>
      <c r="I6" s="21" t="n">
        <v>18</v>
      </c>
      <c r="J6" s="28" t="n">
        <f aca="false">IFERROR(C6/I6,0)</f>
        <v>2.66666666666667</v>
      </c>
      <c r="K6" s="29" t="n">
        <f aca="false">IFERROR(I6/H6,0)</f>
        <v>0.327272727272727</v>
      </c>
      <c r="L6" s="21" t="n">
        <v>7</v>
      </c>
      <c r="M6" s="29" t="n">
        <f aca="false">IFERROR(L6/I6,0)</f>
        <v>0.388888888888889</v>
      </c>
      <c r="N6" s="21" t="n">
        <v>2</v>
      </c>
      <c r="O6" s="21" t="n">
        <v>1</v>
      </c>
      <c r="P6" s="21" t="n">
        <v>0</v>
      </c>
      <c r="Q6" s="28" t="n">
        <f aca="false">IFERROR(C6/P6,0)</f>
        <v>0</v>
      </c>
      <c r="R6" s="34" t="n">
        <v>0</v>
      </c>
      <c r="S6" s="30" t="n">
        <f aca="false">IFERROR(R6/C6,0)</f>
        <v>0</v>
      </c>
    </row>
    <row r="7" customFormat="false" ht="15" hidden="false" customHeight="true" outlineLevel="0" collapsed="false">
      <c r="A7" s="20" t="s">
        <v>38</v>
      </c>
      <c r="B7" s="21" t="n">
        <v>23</v>
      </c>
      <c r="C7" s="27" t="n">
        <v>62</v>
      </c>
      <c r="D7" s="21" t="n">
        <v>5800</v>
      </c>
      <c r="E7" s="28" t="n">
        <f aca="false">IFERROR(C7/D7*1000,0)</f>
        <v>10.6896551724138</v>
      </c>
      <c r="F7" s="21" t="n">
        <v>82</v>
      </c>
      <c r="G7" s="28" t="n">
        <f aca="false">IFERROR(C7/F7,0)</f>
        <v>0.75609756097561</v>
      </c>
      <c r="H7" s="21" t="n">
        <v>78</v>
      </c>
      <c r="I7" s="21" t="n">
        <v>25</v>
      </c>
      <c r="J7" s="28" t="n">
        <f aca="false">IFERROR(C7/I7,0)</f>
        <v>2.48</v>
      </c>
      <c r="K7" s="29" t="n">
        <f aca="false">IFERROR(I7/H7,0)</f>
        <v>0.320512820512821</v>
      </c>
      <c r="L7" s="21" t="n">
        <v>12</v>
      </c>
      <c r="M7" s="29" t="n">
        <f aca="false">IFERROR(L7/I7,0)</f>
        <v>0.48</v>
      </c>
      <c r="N7" s="21" t="n">
        <v>4</v>
      </c>
      <c r="O7" s="21" t="n">
        <v>2</v>
      </c>
      <c r="P7" s="21" t="n">
        <v>1</v>
      </c>
      <c r="Q7" s="28" t="n">
        <f aca="false">IFERROR(C7/P7,0)</f>
        <v>62</v>
      </c>
      <c r="R7" s="34" t="n">
        <v>1997</v>
      </c>
      <c r="S7" s="30" t="n">
        <f aca="false">IFERROR(R7/C7,0)</f>
        <v>32.2096774193548</v>
      </c>
    </row>
    <row r="8" customFormat="false" ht="15" hidden="false" customHeight="true" outlineLevel="0" collapsed="false">
      <c r="A8" s="20" t="s">
        <v>39</v>
      </c>
      <c r="B8" s="21" t="n">
        <v>23</v>
      </c>
      <c r="C8" s="27" t="n">
        <v>45</v>
      </c>
      <c r="D8" s="21" t="n">
        <v>4000</v>
      </c>
      <c r="E8" s="28" t="n">
        <f aca="false">IFERROR(C8/D8*1000,0)</f>
        <v>11.25</v>
      </c>
      <c r="F8" s="21" t="n">
        <v>54</v>
      </c>
      <c r="G8" s="28" t="n">
        <f aca="false">IFERROR(C8/F8,0)</f>
        <v>0.833333333333333</v>
      </c>
      <c r="H8" s="21" t="n">
        <v>50</v>
      </c>
      <c r="I8" s="21" t="n">
        <v>15</v>
      </c>
      <c r="J8" s="28" t="n">
        <f aca="false">IFERROR(C8/I8,0)</f>
        <v>3</v>
      </c>
      <c r="K8" s="29" t="n">
        <f aca="false">IFERROR(I8/H8,0)</f>
        <v>0.3</v>
      </c>
      <c r="L8" s="21" t="n">
        <v>6</v>
      </c>
      <c r="M8" s="29" t="n">
        <f aca="false">IFERROR(L8/I8,0)</f>
        <v>0.4</v>
      </c>
      <c r="N8" s="21" t="n">
        <v>2</v>
      </c>
      <c r="O8" s="21" t="n">
        <v>1</v>
      </c>
      <c r="P8" s="21" t="n">
        <v>0</v>
      </c>
      <c r="Q8" s="28" t="n">
        <f aca="false">IFERROR(C8/P8,0)</f>
        <v>0</v>
      </c>
      <c r="R8" s="34" t="n">
        <v>0</v>
      </c>
      <c r="S8" s="30" t="n">
        <f aca="false">IFERROR(R8/C8,0)</f>
        <v>0</v>
      </c>
    </row>
    <row r="9" customFormat="false" ht="15" hidden="false" customHeight="true" outlineLevel="0" collapsed="false">
      <c r="A9" s="20" t="s">
        <v>40</v>
      </c>
      <c r="B9" s="21" t="n">
        <v>23</v>
      </c>
      <c r="C9" s="27" t="n">
        <v>58</v>
      </c>
      <c r="D9" s="21" t="n">
        <v>5300</v>
      </c>
      <c r="E9" s="28" t="n">
        <f aca="false">IFERROR(C9/D9*1000,0)</f>
        <v>10.9433962264151</v>
      </c>
      <c r="F9" s="21" t="n">
        <v>75</v>
      </c>
      <c r="G9" s="28" t="n">
        <f aca="false">IFERROR(C9/F9,0)</f>
        <v>0.773333333333333</v>
      </c>
      <c r="H9" s="21" t="n">
        <v>70</v>
      </c>
      <c r="I9" s="21" t="n">
        <v>21</v>
      </c>
      <c r="J9" s="28" t="n">
        <f aca="false">IFERROR(C9/I9,0)</f>
        <v>2.76190476190476</v>
      </c>
      <c r="K9" s="29" t="n">
        <f aca="false">IFERROR(I9/H9,0)</f>
        <v>0.3</v>
      </c>
      <c r="L9" s="21" t="n">
        <v>10</v>
      </c>
      <c r="M9" s="29" t="n">
        <f aca="false">IFERROR(L9/I9,0)</f>
        <v>0.476190476190476</v>
      </c>
      <c r="N9" s="21" t="n">
        <v>3</v>
      </c>
      <c r="O9" s="21" t="n">
        <v>2</v>
      </c>
      <c r="P9" s="21" t="n">
        <v>1</v>
      </c>
      <c r="Q9" s="28" t="n">
        <f aca="false">IFERROR(C9/P9,0)</f>
        <v>58</v>
      </c>
      <c r="R9" s="34" t="n">
        <v>1997</v>
      </c>
      <c r="S9" s="30" t="n">
        <f aca="false">IFERROR(R9/C9,0)</f>
        <v>34.4310344827586</v>
      </c>
    </row>
    <row r="10" customFormat="false" ht="15" hidden="false" customHeight="true" outlineLevel="0" collapsed="false">
      <c r="A10" s="20" t="s">
        <v>41</v>
      </c>
      <c r="B10" s="21" t="n">
        <v>23</v>
      </c>
      <c r="C10" s="27" t="n">
        <v>40</v>
      </c>
      <c r="D10" s="21" t="n">
        <v>3600</v>
      </c>
      <c r="E10" s="28" t="n">
        <f aca="false">IFERROR(C10/D10*1000,0)</f>
        <v>11.1111111111111</v>
      </c>
      <c r="F10" s="21" t="n">
        <v>48</v>
      </c>
      <c r="G10" s="28" t="n">
        <f aca="false">IFERROR(C10/F10,0)</f>
        <v>0.833333333333333</v>
      </c>
      <c r="H10" s="21" t="n">
        <v>44</v>
      </c>
      <c r="I10" s="21" t="n">
        <v>12</v>
      </c>
      <c r="J10" s="28" t="n">
        <f aca="false">IFERROR(C10/I10,0)</f>
        <v>3.33333333333333</v>
      </c>
      <c r="K10" s="29" t="n">
        <f aca="false">IFERROR(I10/H10,0)</f>
        <v>0.272727272727273</v>
      </c>
      <c r="L10" s="21" t="n">
        <v>4</v>
      </c>
      <c r="M10" s="29" t="n">
        <f aca="false">IFERROR(L10/I10,0)</f>
        <v>0.333333333333333</v>
      </c>
      <c r="N10" s="21" t="n">
        <v>1</v>
      </c>
      <c r="O10" s="21" t="n">
        <v>1</v>
      </c>
      <c r="P10" s="21" t="n">
        <v>0</v>
      </c>
      <c r="Q10" s="28" t="n">
        <f aca="false">IFERROR(C10/P10,0)</f>
        <v>0</v>
      </c>
      <c r="R10" s="34" t="n">
        <v>0</v>
      </c>
      <c r="S10" s="30" t="n">
        <f aca="false">IFERROR(R10/C10,0)</f>
        <v>0</v>
      </c>
    </row>
    <row r="11" customFormat="false" ht="15" hidden="false" customHeight="true" outlineLevel="0" collapsed="false">
      <c r="A11" s="20" t="s">
        <v>42</v>
      </c>
      <c r="B11" s="21" t="n">
        <v>23</v>
      </c>
      <c r="C11" s="27" t="n">
        <v>52</v>
      </c>
      <c r="D11" s="21" t="n">
        <v>4700</v>
      </c>
      <c r="E11" s="28" t="n">
        <f aca="false">IFERROR(C11/D11*1000,0)</f>
        <v>11.063829787234</v>
      </c>
      <c r="F11" s="21" t="n">
        <v>66</v>
      </c>
      <c r="G11" s="28" t="n">
        <f aca="false">IFERROR(C11/F11,0)</f>
        <v>0.787878787878788</v>
      </c>
      <c r="H11" s="21" t="n">
        <v>60</v>
      </c>
      <c r="I11" s="21" t="n">
        <v>17</v>
      </c>
      <c r="J11" s="28" t="n">
        <f aca="false">IFERROR(C11/I11,0)</f>
        <v>3.05882352941176</v>
      </c>
      <c r="K11" s="29" t="n">
        <f aca="false">IFERROR(I11/H11,0)</f>
        <v>0.283333333333333</v>
      </c>
      <c r="L11" s="21" t="n">
        <v>8</v>
      </c>
      <c r="M11" s="29" t="n">
        <f aca="false">IFERROR(L11/I11,0)</f>
        <v>0.470588235294118</v>
      </c>
      <c r="N11" s="21" t="n">
        <v>2</v>
      </c>
      <c r="O11" s="21" t="n">
        <v>1</v>
      </c>
      <c r="P11" s="21" t="n">
        <v>0</v>
      </c>
      <c r="Q11" s="28" t="n">
        <f aca="false">IFERROR(C11/P11,0)</f>
        <v>0</v>
      </c>
      <c r="R11" s="34" t="n">
        <v>0</v>
      </c>
      <c r="S11" s="30" t="n">
        <f aca="false">IFERROR(R11/C11,0)</f>
        <v>0</v>
      </c>
    </row>
    <row r="12" customFormat="false" ht="23.25" hidden="false" customHeight="true" outlineLevel="0" collapsed="false">
      <c r="A12" s="23" t="s">
        <v>43</v>
      </c>
      <c r="B12" s="23"/>
      <c r="C12" s="31" t="n">
        <f aca="false">SUM(C5:C11)</f>
        <v>360</v>
      </c>
      <c r="D12" s="24" t="n">
        <f aca="false">SUM(D5:D11)</f>
        <v>32800</v>
      </c>
      <c r="E12" s="31" t="n">
        <f aca="false">IFERROR(C12/D12*1000,0)</f>
        <v>10.9756097560976</v>
      </c>
      <c r="F12" s="24" t="n">
        <f aca="false">SUM(F5:F11)</f>
        <v>455</v>
      </c>
      <c r="G12" s="31" t="n">
        <f aca="false">IFERROR(C12/F12,0)</f>
        <v>0.791208791208791</v>
      </c>
      <c r="H12" s="24" t="n">
        <f aca="false">SUM(H5:H11)</f>
        <v>423</v>
      </c>
      <c r="I12" s="24" t="n">
        <f aca="false">SUM(I5:I11)</f>
        <v>130</v>
      </c>
      <c r="J12" s="31" t="n">
        <f aca="false">IFERROR(C12/I12,0)</f>
        <v>2.76923076923077</v>
      </c>
      <c r="K12" s="32" t="n">
        <f aca="false">IFERROR(I12/H12,0)</f>
        <v>0.307328605200946</v>
      </c>
      <c r="L12" s="24" t="n">
        <f aca="false">SUM(L5:L11)</f>
        <v>56</v>
      </c>
      <c r="M12" s="32" t="n">
        <f aca="false">IFERROR(L12/I12,0)</f>
        <v>0.430769230769231</v>
      </c>
      <c r="N12" s="24" t="n">
        <f aca="false">SUM(N5:N11)</f>
        <v>17</v>
      </c>
      <c r="O12" s="24" t="n">
        <f aca="false">SUM(O5:O11)</f>
        <v>10</v>
      </c>
      <c r="P12" s="24" t="n">
        <f aca="false">SUM(P5:P11)</f>
        <v>3</v>
      </c>
      <c r="Q12" s="31" t="n">
        <f aca="false">IFERROR(C12/P12,0)</f>
        <v>120</v>
      </c>
      <c r="R12" s="35" t="n">
        <f aca="false">SUM(R5:R11)</f>
        <v>5991</v>
      </c>
      <c r="S12" s="33" t="n">
        <f aca="false">IFERROR(R12/C12,0)</f>
        <v>16.6416666666667</v>
      </c>
    </row>
    <row r="14" customFormat="false" ht="27.75" hidden="false" customHeight="true" outlineLevel="0" collapsed="false">
      <c r="A14" s="26" t="s">
        <v>44</v>
      </c>
      <c r="B14" s="26"/>
      <c r="C14" s="26"/>
      <c r="D14" s="26"/>
      <c r="E14" s="26"/>
      <c r="F14" s="26"/>
      <c r="G14" s="26"/>
      <c r="H14" s="26"/>
    </row>
  </sheetData>
  <mergeCells count="3">
    <mergeCell ref="A1:S1"/>
    <mergeCell ref="A2:S2"/>
    <mergeCell ref="A14:H14"/>
  </mergeCells>
  <hyperlinks>
    <hyperlink ref="A14" r:id="rId1" display="Zu viele Zahlen? Genau dafür ist das Strategiegespräch — wir werten es mit dir aus und bauen den automatisierten Funnel.  📅 Jetzt buchen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4"/>
    <col collapsed="false" customWidth="true" hidden="false" outlineLevel="0" max="5" min="5" style="1" width="18"/>
    <col collapsed="false" customWidth="true" hidden="false" outlineLevel="0" max="6" min="6" style="1" width="3"/>
    <col collapsed="false" customWidth="true" hidden="true" outlineLevel="0" max="7" min="7" style="1" width="13"/>
  </cols>
  <sheetData>
    <row r="1" customFormat="false" ht="30" hidden="false" customHeight="true" outlineLevel="0" collapsed="false">
      <c r="A1" s="2"/>
      <c r="B1" s="36" t="s">
        <v>79</v>
      </c>
      <c r="C1" s="36"/>
      <c r="D1" s="36"/>
      <c r="E1" s="36"/>
      <c r="F1" s="2"/>
    </row>
    <row r="2" customFormat="false" ht="15" hidden="false" customHeight="true" outlineLevel="0" collapsed="false">
      <c r="A2" s="2"/>
      <c r="B2" s="37" t="s">
        <v>80</v>
      </c>
      <c r="C2" s="37"/>
      <c r="D2" s="37"/>
      <c r="E2" s="37"/>
      <c r="F2" s="2"/>
    </row>
    <row r="4" customFormat="false" ht="15" hidden="false" customHeight="true" outlineLevel="0" collapsed="false">
      <c r="B4" s="38" t="n">
        <f aca="false">AVERAGE(G8:G17)</f>
        <v>0.537666666666667</v>
      </c>
      <c r="C4" s="38"/>
      <c r="D4" s="39" t="s">
        <v>81</v>
      </c>
      <c r="E4" s="39"/>
    </row>
    <row r="5" customFormat="false" ht="15" hidden="false" customHeight="true" outlineLevel="0" collapsed="false">
      <c r="B5" s="38"/>
      <c r="C5" s="38"/>
      <c r="D5" s="39"/>
      <c r="E5" s="39"/>
    </row>
    <row r="7" customFormat="false" ht="24" hidden="false" customHeight="true" outlineLevel="0" collapsed="false">
      <c r="A7" s="40"/>
      <c r="B7" s="40" t="s">
        <v>82</v>
      </c>
      <c r="C7" s="40" t="s">
        <v>83</v>
      </c>
      <c r="D7" s="40" t="s">
        <v>84</v>
      </c>
      <c r="E7" s="40" t="s">
        <v>85</v>
      </c>
    </row>
    <row r="8" customFormat="false" ht="23.25" hidden="false" customHeight="true" outlineLevel="0" collapsed="false">
      <c r="B8" s="41" t="s">
        <v>86</v>
      </c>
      <c r="C8" s="42" t="n">
        <v>5</v>
      </c>
      <c r="D8" s="43" t="n">
        <v>5</v>
      </c>
      <c r="E8" s="44" t="str">
        <f aca="false">IF(C8&gt;=D8,"🟢 stark",IF(C8&gt;=D8*0.6,"🟡 ok","🔴 Bottleneck"))</f>
        <v>🟢 stark</v>
      </c>
      <c r="G8" s="1" t="n">
        <f aca="false">MIN(IFERROR(C8/D8,0),1)</f>
        <v>1</v>
      </c>
    </row>
    <row r="9" customFormat="false" ht="15" hidden="false" customHeight="true" outlineLevel="0" collapsed="false">
      <c r="B9" s="45" t="s">
        <v>87</v>
      </c>
      <c r="C9" s="42" t="n">
        <v>6</v>
      </c>
      <c r="D9" s="43" t="n">
        <v>10</v>
      </c>
      <c r="E9" s="44" t="str">
        <f aca="false">IF(C9&gt;=D9,"🟢 stark",IF(C9&gt;=D9*0.6,"🟡 ok","🔴 Bottleneck"))</f>
        <v>🟡 ok</v>
      </c>
      <c r="G9" s="1" t="n">
        <f aca="false">MIN(IFERROR(C9/D9,0),1)</f>
        <v>0.6</v>
      </c>
    </row>
    <row r="10" customFormat="false" ht="23.25" hidden="false" customHeight="true" outlineLevel="0" collapsed="false">
      <c r="B10" s="41" t="s">
        <v>88</v>
      </c>
      <c r="C10" s="46" t="n">
        <v>0.3</v>
      </c>
      <c r="D10" s="29" t="n">
        <v>0.4</v>
      </c>
      <c r="E10" s="44" t="str">
        <f aca="false">IF(C10&gt;=D10,"🟢 stark",IF(C10&gt;=D10*0.6,"🟡 ok","🔴 Bottleneck"))</f>
        <v>🟡 ok</v>
      </c>
      <c r="G10" s="1" t="n">
        <f aca="false">MIN(IFERROR(C10/D10,0),1)</f>
        <v>0.75</v>
      </c>
    </row>
    <row r="11" customFormat="false" ht="15" hidden="false" customHeight="true" outlineLevel="0" collapsed="false">
      <c r="B11" s="45" t="s">
        <v>89</v>
      </c>
      <c r="C11" s="42" t="n">
        <v>70</v>
      </c>
      <c r="D11" s="43" t="n">
        <v>100</v>
      </c>
      <c r="E11" s="44" t="str">
        <f aca="false">IF(C11&gt;=D11,"🟢 stark",IF(C11&gt;=D11*0.6,"🟡 ok","🔴 Bottleneck"))</f>
        <v>🟡 ok</v>
      </c>
      <c r="G11" s="1" t="n">
        <f aca="false">MIN(IFERROR(C11/D11,0),1)</f>
        <v>0.7</v>
      </c>
    </row>
    <row r="12" customFormat="false" ht="15" hidden="false" customHeight="true" outlineLevel="0" collapsed="false">
      <c r="B12" s="41" t="s">
        <v>90</v>
      </c>
      <c r="C12" s="46" t="n">
        <v>0.78</v>
      </c>
      <c r="D12" s="29" t="n">
        <v>0.75</v>
      </c>
      <c r="E12" s="44" t="str">
        <f aca="false">IF(C12&gt;=D12,"🟢 stark",IF(C12&gt;=D12*0.6,"🟡 ok","🔴 Bottleneck"))</f>
        <v>🟢 stark</v>
      </c>
      <c r="G12" s="1" t="n">
        <f aca="false">MIN(IFERROR(C12/D12,0),1)</f>
        <v>1</v>
      </c>
    </row>
    <row r="13" customFormat="false" ht="15" hidden="false" customHeight="true" outlineLevel="0" collapsed="false">
      <c r="B13" s="45" t="s">
        <v>91</v>
      </c>
      <c r="C13" s="46" t="n">
        <v>0.12</v>
      </c>
      <c r="D13" s="29" t="n">
        <v>0.25</v>
      </c>
      <c r="E13" s="44" t="str">
        <f aca="false">IF(C13&gt;=D13,"🟢 stark",IF(C13&gt;=D13*0.6,"🟡 ok","🔴 Bottleneck"))</f>
        <v>🔴 Bottleneck</v>
      </c>
      <c r="G13" s="1" t="n">
        <f aca="false">MIN(IFERROR(C13/D13,0),1)</f>
        <v>0.48</v>
      </c>
    </row>
    <row r="14" customFormat="false" ht="23.25" hidden="false" customHeight="true" outlineLevel="0" collapsed="false">
      <c r="B14" s="41" t="s">
        <v>92</v>
      </c>
      <c r="C14" s="42" t="n">
        <v>0</v>
      </c>
      <c r="D14" s="43" t="n">
        <v>1</v>
      </c>
      <c r="E14" s="44" t="str">
        <f aca="false">IF(C14&gt;=D14,"🟢 stark",IF(C14&gt;=D14*0.6,"🟡 ok","🔴 Bottleneck"))</f>
        <v>🔴 Bottleneck</v>
      </c>
      <c r="G14" s="1" t="n">
        <f aca="false">MIN(IFERROR(C14/D14,0),1)</f>
        <v>0</v>
      </c>
    </row>
    <row r="15" customFormat="false" ht="15" hidden="false" customHeight="true" outlineLevel="0" collapsed="false">
      <c r="B15" s="45" t="s">
        <v>93</v>
      </c>
      <c r="C15" s="47" t="n">
        <v>0</v>
      </c>
      <c r="D15" s="30" t="n">
        <v>2.5</v>
      </c>
      <c r="E15" s="44" t="str">
        <f aca="false">IF(C15&gt;=D15,"🟢 stark",IF(C15&gt;=D15*0.6,"🟡 ok","🔴 Bottleneck"))</f>
        <v>🔴 Bottleneck</v>
      </c>
      <c r="G15" s="1" t="n">
        <f aca="false">MIN(IFERROR(C15/D15,0),1)</f>
        <v>0</v>
      </c>
    </row>
    <row r="16" customFormat="false" ht="15" hidden="false" customHeight="true" outlineLevel="0" collapsed="false">
      <c r="B16" s="41" t="s">
        <v>94</v>
      </c>
      <c r="C16" s="48" t="n">
        <v>18000</v>
      </c>
      <c r="D16" s="49" t="n">
        <v>100000</v>
      </c>
      <c r="E16" s="44" t="str">
        <f aca="false">IF(C16&gt;=D16,"🟢 stark",IF(C16&gt;=D16*0.6,"🟡 ok","🔴 Bottleneck"))</f>
        <v>🔴 Bottleneck</v>
      </c>
      <c r="G16" s="1" t="n">
        <f aca="false">MIN(IFERROR(C16/D16,0),1)</f>
        <v>0.18</v>
      </c>
    </row>
    <row r="17" customFormat="false" ht="15" hidden="false" customHeight="true" outlineLevel="0" collapsed="false">
      <c r="B17" s="45" t="s">
        <v>95</v>
      </c>
      <c r="C17" s="42" t="n">
        <v>2</v>
      </c>
      <c r="D17" s="43" t="n">
        <v>3</v>
      </c>
      <c r="E17" s="44" t="str">
        <f aca="false">IF(C17&gt;=D17,"🟢 stark",IF(C17&gt;=D17*0.6,"🟡 ok","🔴 Bottleneck"))</f>
        <v>🟡 ok</v>
      </c>
      <c r="G17" s="1" t="n">
        <f aca="false">MIN(IFERROR(C17/D17,0),1)</f>
        <v>0.666666666666667</v>
      </c>
    </row>
    <row r="19" customFormat="false" ht="30" hidden="false" customHeight="true" outlineLevel="0" collapsed="false">
      <c r="B19" s="50" t="s">
        <v>96</v>
      </c>
      <c r="C19" s="50"/>
      <c r="D19" s="50"/>
      <c r="E19" s="50"/>
    </row>
    <row r="20" customFormat="false" ht="31.5" hidden="false" customHeight="true" outlineLevel="0" collapsed="false">
      <c r="B20" s="16" t="s">
        <v>97</v>
      </c>
      <c r="C20" s="16"/>
      <c r="D20" s="16"/>
      <c r="E20" s="16"/>
    </row>
    <row r="23" customFormat="false" ht="24" hidden="false" customHeight="true" outlineLevel="0" collapsed="false">
      <c r="A23" s="2"/>
      <c r="B23" s="51" t="s">
        <v>98</v>
      </c>
      <c r="C23" s="51"/>
      <c r="D23" s="51"/>
      <c r="E23" s="51"/>
      <c r="F23" s="2"/>
    </row>
    <row r="24" customFormat="false" ht="15" hidden="false" customHeight="true" outlineLevel="0" collapsed="false">
      <c r="B24" s="52" t="s">
        <v>99</v>
      </c>
      <c r="C24" s="52"/>
      <c r="D24" s="52"/>
      <c r="E24" s="52"/>
    </row>
    <row r="25" customFormat="false" ht="15" hidden="false" customHeight="true" outlineLevel="0" collapsed="false">
      <c r="A25" s="40"/>
      <c r="B25" s="40" t="s">
        <v>100</v>
      </c>
      <c r="C25" s="40" t="s">
        <v>101</v>
      </c>
      <c r="D25" s="40"/>
      <c r="E25" s="40" t="s">
        <v>102</v>
      </c>
    </row>
    <row r="26" customFormat="false" ht="15" hidden="false" customHeight="true" outlineLevel="0" collapsed="false">
      <c r="B26" s="41" t="s">
        <v>103</v>
      </c>
      <c r="C26" s="53" t="s">
        <v>104</v>
      </c>
      <c r="D26" s="53"/>
      <c r="E26" s="54" t="n">
        <f aca="false">IF(OR(LOWER(C26)="voll",LOWER(C26)="ja"),1,IF(LOWER(C26)="teils",0.5,IF(LOWER(C26)="manuell",0,"")))</f>
        <v>0.5</v>
      </c>
    </row>
    <row r="27" customFormat="false" ht="15" hidden="false" customHeight="true" outlineLevel="0" collapsed="false">
      <c r="B27" s="41" t="s">
        <v>105</v>
      </c>
      <c r="C27" s="53" t="s">
        <v>106</v>
      </c>
      <c r="D27" s="53"/>
      <c r="E27" s="54" t="n">
        <f aca="false">IF(OR(LOWER(C27)="voll",LOWER(C27)="ja"),1,IF(LOWER(C27)="teils",0.5,IF(LOWER(C27)="manuell",0,"")))</f>
        <v>0</v>
      </c>
    </row>
    <row r="28" customFormat="false" ht="15" hidden="false" customHeight="true" outlineLevel="0" collapsed="false">
      <c r="B28" s="41" t="s">
        <v>107</v>
      </c>
      <c r="C28" s="53" t="s">
        <v>106</v>
      </c>
      <c r="D28" s="53"/>
      <c r="E28" s="54" t="n">
        <f aca="false">IF(OR(LOWER(C28)="voll",LOWER(C28)="ja"),1,IF(LOWER(C28)="teils",0.5,IF(LOWER(C28)="manuell",0,"")))</f>
        <v>0</v>
      </c>
    </row>
    <row r="29" customFormat="false" ht="15" hidden="false" customHeight="true" outlineLevel="0" collapsed="false">
      <c r="B29" s="41" t="s">
        <v>108</v>
      </c>
      <c r="C29" s="53"/>
      <c r="D29" s="53"/>
      <c r="E29" s="54" t="str">
        <f aca="false">IF(OR(LOWER(C29)="voll",LOWER(C29)="ja"),1,IF(LOWER(C29)="teils",0.5,IF(LOWER(C29)="manuell",0,"")))</f>
        <v/>
      </c>
    </row>
    <row r="30" customFormat="false" ht="15" hidden="false" customHeight="true" outlineLevel="0" collapsed="false">
      <c r="B30" s="41" t="s">
        <v>109</v>
      </c>
      <c r="C30" s="53"/>
      <c r="D30" s="53"/>
      <c r="E30" s="54" t="str">
        <f aca="false">IF(OR(LOWER(C30)="voll",LOWER(C30)="ja"),1,IF(LOWER(C30)="teils",0.5,IF(LOWER(C30)="manuell",0,"")))</f>
        <v/>
      </c>
    </row>
    <row r="31" customFormat="false" ht="15" hidden="false" customHeight="true" outlineLevel="0" collapsed="false">
      <c r="B31" s="55" t="s">
        <v>110</v>
      </c>
      <c r="C31" s="55"/>
      <c r="D31" s="55"/>
      <c r="E31" s="56" t="n">
        <f aca="false">IFERROR(AVERAGE(E26:E30),0)</f>
        <v>0.166666666666667</v>
      </c>
    </row>
    <row r="33" customFormat="false" ht="30" hidden="false" customHeight="true" outlineLevel="0" collapsed="false">
      <c r="B33" s="50" t="s">
        <v>111</v>
      </c>
      <c r="C33" s="50"/>
      <c r="D33" s="50"/>
      <c r="E33" s="50"/>
    </row>
  </sheetData>
  <mergeCells count="16">
    <mergeCell ref="B1:E1"/>
    <mergeCell ref="B2:E2"/>
    <mergeCell ref="B4:C5"/>
    <mergeCell ref="D4:E5"/>
    <mergeCell ref="B19:E19"/>
    <mergeCell ref="B20:E20"/>
    <mergeCell ref="B23:E23"/>
    <mergeCell ref="B24:E24"/>
    <mergeCell ref="C25:D25"/>
    <mergeCell ref="C26:D26"/>
    <mergeCell ref="C27:D27"/>
    <mergeCell ref="C28:D28"/>
    <mergeCell ref="C29:D29"/>
    <mergeCell ref="C30:D30"/>
    <mergeCell ref="B31:D31"/>
    <mergeCell ref="B33:E33"/>
  </mergeCells>
  <conditionalFormatting sqref="E8:E17">
    <cfRule type="expression" priority="2" aboveAverage="0" equalAverage="0" bottom="0" percent="0" rank="0" text="" dxfId="0">
      <formula>ISNUMBER(SEARCH("🟢",E8))</formula>
    </cfRule>
    <cfRule type="expression" priority="3" aboveAverage="0" equalAverage="0" bottom="0" percent="0" rank="0" text="" dxfId="1">
      <formula>ISNUMBER(SEARCH("🟡",E8))</formula>
    </cfRule>
    <cfRule type="expression" priority="4" aboveAverage="0" equalAverage="0" bottom="0" percent="0" rank="0" text="" dxfId="2">
      <formula>ISNUMBER(SEARCH("🔴",E8))</formula>
    </cfRule>
  </conditionalFormatting>
  <hyperlinks>
    <hyperlink ref="B20" r:id="rId1" display="📅  Lass uns deine Lücken im kostenlosen Strategiegespräch schließen → buch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LibreOffice/25.8.7.3$MacOSX_AARCH64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2026-06-24T19:05:51Z</dcterms:created>
  <dc:creator>openpyxl</dc:creator>
  <dc:description/>
  <dc:language>de-DE</dc:language>
  <cp:lastModifiedBy/>
  <dcterms:modified xsi:type="dcterms:W3CDTF">2026-06-25T06:44:07Z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