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▸ Start hier" sheetId="1" state="visible" r:id="rId3"/>
    <sheet name="0 · Social Media" sheetId="2" state="visible" r:id="rId4"/>
    <sheet name="1 · Freebie-Funnel" sheetId="3" state="visible" r:id="rId5"/>
    <sheet name="2 · Erstgespräch-Funnel" sheetId="4" state="visible" r:id="rId6"/>
    <sheet name="3 · Webinar-Funnel" sheetId="5" state="visible" r:id="rId7"/>
    <sheet name="5 · Dein 100K-Reifegrad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<sst xmlns="http://schemas.openxmlformats.org/spreadsheetml/2006/main" count="152" uniqueCount="110">
  <si>
    <t xml:space="preserve">100 SCHRITTE ZU 100K</t>
  </si>
  <si>
    <t xml:space="preserve">Dein Tracking-System auf dem Weg zum vollautomatisierten 100K-Business · The Escape Theory</t>
  </si>
  <si>
    <t xml:space="preserve">So funktioniert dieses System</t>
  </si>
  <si>
    <t xml:space="preserve">Ein erfolgreiches Online-Business wird in Stufen aufgebaut — von Sichtbarkeit bis zur Vollautomatisierung. Dieses Sheet trackt jede Stufe. Trag deine echten Zahlen ein und du siehst sofort, wo du stehst und was dir noch fehlt.</t>
  </si>
  <si>
    <t xml:space="preserve">Die Treppe</t>
  </si>
  <si>
    <t xml:space="preserve">0</t>
  </si>
  <si>
    <t xml:space="preserve">Sichtbarkeit (Social Media) — Du wirst organisch gesehen.</t>
  </si>
  <si>
    <t xml:space="preserve">→ Tab: 0 · Social Media</t>
  </si>
  <si>
    <t xml:space="preserve">1</t>
  </si>
  <si>
    <t xml:space="preserve">Leads sammeln (Freebie) — Du fängst Kontakte ein.</t>
  </si>
  <si>
    <t xml:space="preserve">→ Tab: 1 · Freebie-Funnel</t>
  </si>
  <si>
    <t xml:space="preserve">2</t>
  </si>
  <si>
    <t xml:space="preserve">Verkaufen (Erstgespräch / Webinar) — 1:1 oder 1:viele.</t>
  </si>
  <si>
    <t xml:space="preserve">→ Tabs: 2 · Erstgespräch / 3 · Webinar</t>
  </si>
  <si>
    <t xml:space="preserve">3</t>
  </si>
  <si>
    <t xml:space="preserve">Automatisieren (Evergreen) — läuft ohne dich live.</t>
  </si>
  <si>
    <t xml:space="preserve">im Reifegrad-Tab bewertet</t>
  </si>
  <si>
    <t xml:space="preserve">4</t>
  </si>
  <si>
    <t xml:space="preserve">Vollautomatisiert = 100K — das System läuft.</t>
  </si>
  <si>
    <t xml:space="preserve">→ gebaut MIT The Escape Theory</t>
  </si>
  <si>
    <t xml:space="preserve">Farb-Legende</t>
  </si>
  <si>
    <t xml:space="preserve">Weiße Felder = du trägst ein (blaue Schrift)</t>
  </si>
  <si>
    <t xml:space="preserve">Beige Felder = rechnen sich automatisch</t>
  </si>
  <si>
    <t xml:space="preserve">Gelbe Felder = Startdatum/Monat wählen</t>
  </si>
  <si>
    <t xml:space="preserve">📅  EINEN MONAT TRACKEN — SO GEHT'S</t>
  </si>
  <si>
    <t xml:space="preserve">1. Auf jedem Funnel-Tab oben das STARTDATUM (1. Tag deines Monats) im gelben Feld wählen — die Datumsspalte füllt sich automatisch für den ganzen Monat.</t>
  </si>
  <si>
    <t xml:space="preserve">2. ACHTUNG: Startdatum danach NICHT mehr ändern — sonst verschieben sich alle Zeilen.</t>
  </si>
  <si>
    <t xml:space="preserve">3. Täglich die weißen Felder eintragen. Die Monats-Summe oben rechnet sich automatisch.</t>
  </si>
  <si>
    <t xml:space="preserve">4. NEUER MONAT = ganze Datei kopieren: In Google Sheets »Datei → Kopie erstellen«, nach Monat benennen (z. B. »Tracking Juli 2026«), neues Startdatum eintragen. So bleibt jeder Monat sauber erhalten.</t>
  </si>
  <si>
    <t xml:space="preserve">📅  Werte dein Tracking mit uns aus → kostenloses Strategiegespräch buchen</t>
  </si>
  <si>
    <t xml:space="preserve">0 · SICHTBARKEIT — Social Media</t>
  </si>
  <si>
    <t xml:space="preserve">Organische Reichweite &amp; wie viele Leads daraus entstehen. (Ganzer Monat — Startdatum oben wählen)</t>
  </si>
  <si>
    <t xml:space="preserve">Startdatum:</t>
  </si>
  <si>
    <t xml:space="preserve">← 1. Tag des Monats wählen. ACHTUNG: danach NICHT mehr ändern! Neuer Monat = ganze Datei kopieren (siehe »Start hier«).</t>
  </si>
  <si>
    <t xml:space="preserve">MONAT — GESAMT</t>
  </si>
  <si>
    <t xml:space="preserve">Datum</t>
  </si>
  <si>
    <t xml:space="preserve">KW</t>
  </si>
  <si>
    <t xml:space="preserve">Posts</t>
  </si>
  <si>
    <t xml:space="preserve">Reichweite</t>
  </si>
  <si>
    <t xml:space="preserve">Profil-aufrufe</t>
  </si>
  <si>
    <t xml:space="preserve">Neue Follower</t>
  </si>
  <si>
    <t xml:space="preserve">Anfragen / Leads (SM)</t>
  </si>
  <si>
    <t xml:space="preserve">Leads je 1.000 Reichw.</t>
  </si>
  <si>
    <t xml:space="preserve">Zu viele Zahlen? Genau dafür ist das Strategiegespräch — wir werten es mit dir aus und bauen den automatisierten Funnel.  📅 Jetzt buchen →</t>
  </si>
  <si>
    <t xml:space="preserve">Hinweis: Die ersten 7 Tage sind Beispiel-Werte (blau) — einfach mit deinen echten Zahlen überschreiben.</t>
  </si>
  <si>
    <t xml:space="preserve">1 · LEADS SAMMELN — Freebie-Funnel</t>
  </si>
  <si>
    <t xml:space="preserve">Vom Klick zum Opt-in bis zum Low-Ticket-Sale. (Ganzer Monat — Startdatum oben wählen)</t>
  </si>
  <si>
    <t xml:space="preserve">Werbe-kosten (€)</t>
  </si>
  <si>
    <t xml:space="preserve">Impres-sionen</t>
  </si>
  <si>
    <t xml:space="preserve">CPM (€)</t>
  </si>
  <si>
    <t xml:space="preserve">Link-Klicks</t>
  </si>
  <si>
    <t xml:space="preserve">CPC (€)</t>
  </si>
  <si>
    <t xml:space="preserve">LP-Aufrufe</t>
  </si>
  <si>
    <t xml:space="preserve">Opt-ins (Leads)</t>
  </si>
  <si>
    <t xml:space="preserve">CPL (€)</t>
  </si>
  <si>
    <t xml:space="preserve">Opt-in-Rate %</t>
  </si>
  <si>
    <t xml:space="preserve">Downloads</t>
  </si>
  <si>
    <t xml:space="preserve">Sales</t>
  </si>
  <si>
    <t xml:space="preserve">Umsatz (€)</t>
  </si>
  <si>
    <t xml:space="preserve">Cost/Sale (€)</t>
  </si>
  <si>
    <t xml:space="preserve">ROAS</t>
  </si>
  <si>
    <t xml:space="preserve">2 · VERKAUFEN — Erstgespräch-Funnel</t>
  </si>
  <si>
    <t xml:space="preserve">Vom Lead über Quali- &amp; Beratungsgespräch zum Abschluss. (Ganzer Monat — Startdatum oben wählen)</t>
  </si>
  <si>
    <t xml:space="preserve">Formular-Aufrufe</t>
  </si>
  <si>
    <t xml:space="preserve">Leads</t>
  </si>
  <si>
    <t xml:space="preserve">Quali-Calls</t>
  </si>
  <si>
    <t xml:space="preserve">Beratungs-gespräche</t>
  </si>
  <si>
    <t xml:space="preserve">Show-up %</t>
  </si>
  <si>
    <t xml:space="preserve">Abschlüsse</t>
  </si>
  <si>
    <t xml:space="preserve">Abschluss-Rate %</t>
  </si>
  <si>
    <t xml:space="preserve">Kosten/ Abschluss (€)</t>
  </si>
  <si>
    <t xml:space="preserve">3 · VERKAUFEN — Webinar-Funnel</t>
  </si>
  <si>
    <t xml:space="preserve">Von der Anmeldung über Show-up &amp; Closing-Call zum Sale. (Ganzer Monat — Startdatum oben wählen)</t>
  </si>
  <si>
    <t xml:space="preserve">Anmel-dungen</t>
  </si>
  <si>
    <t xml:space="preserve">CVR LP %</t>
  </si>
  <si>
    <t xml:space="preserve">Teil-nehmer</t>
  </si>
  <si>
    <t xml:space="preserve">Settings</t>
  </si>
  <si>
    <t xml:space="preserve">Closing-Calls</t>
  </si>
  <si>
    <t xml:space="preserve">CPA (€)</t>
  </si>
  <si>
    <t xml:space="preserve">DEIN 100K-REIFEGRAD</t>
  </si>
  <si>
    <t xml:space="preserve">So nah bist du am vollautomatisierten 100K-Business. Trag deine aktuellen Werte ein (blau).</t>
  </si>
  <si>
    <t xml:space="preserve">100K-Reifegrad
(Ø Zielerreichung über alle Stufen)</t>
  </si>
  <si>
    <t xml:space="preserve">Kennzahl</t>
  </si>
  <si>
    <t xml:space="preserve">Dein Wert</t>
  </si>
  <si>
    <t xml:space="preserve">Ziel (🟢 ab)</t>
  </si>
  <si>
    <t xml:space="preserve">Status</t>
  </si>
  <si>
    <t xml:space="preserve">Stufe 0 · Sichtbarkeit — Posts pro Woche</t>
  </si>
  <si>
    <t xml:space="preserve">   Leads aus Social Media / Monat</t>
  </si>
  <si>
    <t xml:space="preserve">Stufe 1 · Leads sammeln — Opt-in-Rate %</t>
  </si>
  <si>
    <t xml:space="preserve">   Opt-ins / Monat</t>
  </si>
  <si>
    <t xml:space="preserve">Stufe 2 · Verkaufen — Show-up-Rate %</t>
  </si>
  <si>
    <t xml:space="preserve">   Abschluss-Rate %</t>
  </si>
  <si>
    <t xml:space="preserve">Stufe 3 · Automatisieren — Funnel automatisiert? (1=ja / 0=nein)</t>
  </si>
  <si>
    <t xml:space="preserve">   ROAS (evergreen)</t>
  </si>
  <si>
    <t xml:space="preserve">Stufe 4 · 100K — Monatsumsatz (€)</t>
  </si>
  <si>
    <t xml:space="preserve">   Anzahl Lead-Quellen / Funnel</t>
  </si>
  <si>
    <t xml:space="preserve">KI-AUTOMATISIERUNGSGRAD JE STUFE</t>
  </si>
  <si>
    <t xml:space="preserve">Wie automatisiert läuft jede Stufe? Stufe 0–2: manuell / teils / voll. Stufe 3–4 (Evergreen/100K) sind per Definition automatisiert → ja / (leer).</t>
  </si>
  <si>
    <t xml:space="preserve">Stufe</t>
  </si>
  <si>
    <t xml:space="preserve">KI-Grad</t>
  </si>
  <si>
    <t xml:space="preserve">Stufe 0 · Sichtbarkeit</t>
  </si>
  <si>
    <t xml:space="preserve">teils</t>
  </si>
  <si>
    <t xml:space="preserve">Stufe 1 · Leads sammeln</t>
  </si>
  <si>
    <t xml:space="preserve">manuell</t>
  </si>
  <si>
    <t xml:space="preserve">Stufe 2 · Verkaufen</t>
  </si>
  <si>
    <t xml:space="preserve">Stufe 3 · Automatisieren</t>
  </si>
  <si>
    <t xml:space="preserve">Stufe 4 · 100K</t>
  </si>
  <si>
    <t xml:space="preserve">KI-Automatisierungsgrad gesamt</t>
  </si>
  <si>
    <t xml:space="preserve">Jede Stufe, die noch 'manuell' läuft, ist ungenutztes KI-Potenzial — genau das bauen wir mit dir im Strategiegespräch.</t>
  </si>
  <si>
    <t xml:space="preserve">📅  Strategiegespräch buchen →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</si>
</sst>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#,##0.0"/>
    <numFmt numFmtId="167" formatCode="#,##0.00&quot; €&quot;"/>
    <numFmt numFmtId="168" formatCode="0.0%"/>
    <numFmt numFmtId="169" formatCode="0.00\x"/>
    <numFmt numFmtId="170" formatCode="#,##0&quot; €&quot;"/>
    <numFmt numFmtId="171" formatCode="0\ %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FFFFFF"/>
      <name val="Arial"/>
      <family val="0"/>
      <charset val="1"/>
    </font>
    <font>
      <sz val="11"/>
      <color rgb="FFB3DDE9"/>
      <name val="Arial"/>
      <family val="0"/>
      <charset val="1"/>
    </font>
    <font>
      <b val="true"/>
      <sz val="15"/>
      <color rgb="FF0D1C32"/>
      <name val="Arial"/>
      <family val="0"/>
      <charset val="1"/>
    </font>
    <font>
      <sz val="10"/>
      <color rgb="FF111111"/>
      <name val="Arial"/>
      <family val="0"/>
      <charset val="1"/>
    </font>
    <font>
      <b val="true"/>
      <sz val="12"/>
      <color rgb="FF0D1C32"/>
      <name val="Arial"/>
      <family val="0"/>
      <charset val="1"/>
    </font>
    <font>
      <b val="true"/>
      <sz val="14"/>
      <color rgb="FFCDB08F"/>
      <name val="Arial"/>
      <family val="0"/>
      <charset val="1"/>
    </font>
    <font>
      <sz val="10"/>
      <color rgb="FF0D1C32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0D1C32"/>
      <name val="Arial"/>
      <family val="0"/>
      <charset val="1"/>
    </font>
    <font>
      <sz val="10"/>
      <color rgb="FF0000CC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1"/>
      <color rgb="FF0000CC"/>
      <name val="Arial"/>
      <family val="0"/>
      <charset val="1"/>
    </font>
    <font>
      <sz val="9"/>
      <color rgb="FFA06B3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111111"/>
      <name val="Arial"/>
      <family val="0"/>
      <charset val="1"/>
    </font>
    <font>
      <sz val="9"/>
      <color rgb="FF0000CC"/>
      <name val="Arial"/>
      <family val="0"/>
      <charset val="1"/>
    </font>
    <font>
      <sz val="8"/>
      <color rgb="FF888888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sz val="10"/>
      <color rgb="FFB3DDE9"/>
      <name val="Arial"/>
      <family val="0"/>
      <charset val="1"/>
    </font>
    <font>
      <b val="true"/>
      <sz val="40"/>
      <color rgb="FFCDB08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color rgb="FF0D1C32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D1C32"/>
        <bgColor rgb="FF13263F"/>
      </patternFill>
    </fill>
    <fill>
      <patternFill patternType="solid">
        <fgColor rgb="FFF4F1EC"/>
        <bgColor rgb="FFFBEFD6"/>
      </patternFill>
    </fill>
    <fill>
      <patternFill patternType="solid">
        <fgColor rgb="FFFFFFFF"/>
        <bgColor rgb="FFF4F1EC"/>
      </patternFill>
    </fill>
    <fill>
      <patternFill patternType="solid">
        <fgColor rgb="FFFBEFD6"/>
        <bgColor rgb="FFF3E7D4"/>
      </patternFill>
    </fill>
    <fill>
      <patternFill patternType="solid">
        <fgColor rgb="FFCDB08F"/>
        <bgColor rgb="FF969696"/>
      </patternFill>
    </fill>
    <fill>
      <patternFill patternType="solid">
        <fgColor rgb="FF13263F"/>
        <bgColor rgb="FF0D1C32"/>
      </patternFill>
    </fill>
    <fill>
      <patternFill patternType="solid">
        <fgColor rgb="FFB3DDE9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/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2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D8EFE3"/>
        </patternFill>
      </fill>
    </dxf>
    <dxf>
      <fill>
        <patternFill>
          <bgColor rgb="FFF3E7D4"/>
        </patternFill>
      </fill>
    </dxf>
    <dxf>
      <fill>
        <patternFill>
          <bgColor rgb="FFF6DAD4"/>
        </patternFill>
      </fill>
    </dxf>
  </dxf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A06B3A"/>
      <rgbColor rgb="FF800080"/>
      <rgbColor rgb="FF008080"/>
      <rgbColor rgb="FFCDB08F"/>
      <rgbColor rgb="FF888888"/>
      <rgbColor rgb="FF9999FF"/>
      <rgbColor rgb="FF993366"/>
      <rgbColor rgb="FFFBEFD6"/>
      <rgbColor rgb="FFF4F1EC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EFE3"/>
      <rgbColor rgb="FFF3E7D4"/>
      <rgbColor rgb="FFB3DDE9"/>
      <rgbColor rgb="FFFF99CC"/>
      <rgbColor rgb="FFCC99FF"/>
      <rgbColor rgb="FFF6DAD4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3263F"/>
      <rgbColor rgb="FF339966"/>
      <rgbColor rgb="FF0D1C32"/>
      <rgbColor rgb="FF111111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3" min="2" style="1" width="30"/>
    <col collapsed="false" customWidth="true" hidden="false" outlineLevel="0" max="6" min="4" style="1" width="24"/>
    <col collapsed="false" customWidth="true" hidden="false" outlineLevel="0" max="7" min="7" style="1" width="3"/>
  </cols>
  <sheetData>
    <row r="2" customFormat="false" ht="36" hidden="false" customHeight="true" outlineLevel="0" collapsed="false">
      <c r="A2" s="2"/>
      <c r="B2" s="3" t="s">
        <v>0</v>
      </c>
      <c r="C2" s="3"/>
      <c r="D2" s="3"/>
      <c r="E2" s="3"/>
      <c r="F2" s="3"/>
      <c r="G2" s="2"/>
    </row>
    <row r="3" customFormat="false" ht="19.5" hidden="false" customHeight="true" outlineLevel="0" collapsed="false">
      <c r="A3" s="2"/>
      <c r="B3" s="4" t="s">
        <v>1</v>
      </c>
      <c r="C3" s="4"/>
      <c r="D3" s="4"/>
      <c r="E3" s="4"/>
      <c r="F3" s="4"/>
      <c r="G3" s="2"/>
    </row>
    <row r="5" customFormat="false" ht="18" hidden="false" customHeight="true" outlineLevel="0" collapsed="false">
      <c r="B5" s="5" t="s">
        <v>2</v>
      </c>
      <c r="C5" s="5"/>
      <c r="D5" s="5"/>
      <c r="E5" s="5"/>
      <c r="F5" s="5"/>
    </row>
    <row r="6" customFormat="false" ht="55.5" hidden="false" customHeight="true" outlineLevel="0" collapsed="false">
      <c r="B6" s="6" t="s">
        <v>3</v>
      </c>
      <c r="C6" s="6"/>
      <c r="D6" s="6"/>
      <c r="E6" s="6"/>
      <c r="F6" s="6"/>
    </row>
    <row r="8" customFormat="false" ht="15" hidden="false" customHeight="true" outlineLevel="0" collapsed="false">
      <c r="B8" s="7" t="s">
        <v>4</v>
      </c>
    </row>
    <row r="9" customFormat="false" ht="24" hidden="false" customHeight="true" outlineLevel="0" collapsed="false">
      <c r="B9" s="8" t="s">
        <v>5</v>
      </c>
      <c r="C9" s="9" t="s">
        <v>6</v>
      </c>
      <c r="D9" s="9"/>
      <c r="E9" s="10" t="s">
        <v>7</v>
      </c>
      <c r="F9" s="10"/>
    </row>
    <row r="10" customFormat="false" ht="24" hidden="false" customHeight="true" outlineLevel="0" collapsed="false">
      <c r="B10" s="8" t="s">
        <v>8</v>
      </c>
      <c r="C10" s="9" t="s">
        <v>9</v>
      </c>
      <c r="D10" s="9"/>
      <c r="E10" s="10" t="s">
        <v>10</v>
      </c>
      <c r="F10" s="10"/>
    </row>
    <row r="11" customFormat="false" ht="24" hidden="false" customHeight="true" outlineLevel="0" collapsed="false">
      <c r="B11" s="8" t="s">
        <v>11</v>
      </c>
      <c r="C11" s="9" t="s">
        <v>12</v>
      </c>
      <c r="D11" s="9"/>
      <c r="E11" s="10" t="s">
        <v>13</v>
      </c>
      <c r="F11" s="10"/>
    </row>
    <row r="12" customFormat="false" ht="24" hidden="false" customHeight="true" outlineLevel="0" collapsed="false">
      <c r="B12" s="8" t="s">
        <v>14</v>
      </c>
      <c r="C12" s="9" t="s">
        <v>15</v>
      </c>
      <c r="D12" s="9"/>
      <c r="E12" s="10" t="s">
        <v>16</v>
      </c>
      <c r="F12" s="10"/>
    </row>
    <row r="13" customFormat="false" ht="24" hidden="false" customHeight="true" outlineLevel="0" collapsed="false">
      <c r="B13" s="8" t="s">
        <v>17</v>
      </c>
      <c r="C13" s="11" t="s">
        <v>18</v>
      </c>
      <c r="D13" s="11"/>
      <c r="E13" s="10" t="s">
        <v>19</v>
      </c>
      <c r="F13" s="10"/>
    </row>
    <row r="15" customFormat="false" ht="15" hidden="false" customHeight="true" outlineLevel="0" collapsed="false">
      <c r="B15" s="12" t="s">
        <v>20</v>
      </c>
      <c r="C15" s="12"/>
      <c r="D15" s="12"/>
      <c r="E15" s="12"/>
      <c r="F15" s="12"/>
    </row>
    <row r="16" customFormat="false" ht="15" hidden="false" customHeight="true" outlineLevel="0" collapsed="false">
      <c r="B16" s="13"/>
      <c r="C16" s="14" t="s">
        <v>21</v>
      </c>
      <c r="D16" s="14"/>
      <c r="E16" s="14"/>
      <c r="F16" s="14"/>
    </row>
    <row r="17" customFormat="false" ht="15" hidden="false" customHeight="true" outlineLevel="0" collapsed="false">
      <c r="B17" s="15"/>
      <c r="C17" s="6" t="s">
        <v>22</v>
      </c>
      <c r="D17" s="6"/>
      <c r="E17" s="6"/>
      <c r="F17" s="6"/>
    </row>
    <row r="18" customFormat="false" ht="15" hidden="false" customHeight="true" outlineLevel="0" collapsed="false">
      <c r="B18" s="16"/>
      <c r="C18" s="6" t="s">
        <v>23</v>
      </c>
      <c r="D18" s="6"/>
      <c r="E18" s="6"/>
      <c r="F18" s="6"/>
    </row>
    <row r="20" customFormat="false" ht="21.75" hidden="false" customHeight="true" outlineLevel="0" collapsed="false">
      <c r="B20" s="17" t="s">
        <v>24</v>
      </c>
      <c r="C20" s="17"/>
      <c r="D20" s="17"/>
      <c r="E20" s="17"/>
      <c r="F20" s="17"/>
    </row>
    <row r="21" customFormat="false" ht="30" hidden="false" customHeight="true" outlineLevel="0" collapsed="false">
      <c r="B21" s="6" t="s">
        <v>25</v>
      </c>
      <c r="C21" s="6"/>
      <c r="D21" s="6"/>
      <c r="E21" s="6"/>
      <c r="F21" s="6"/>
    </row>
    <row r="22" customFormat="false" ht="30" hidden="false" customHeight="true" outlineLevel="0" collapsed="false">
      <c r="B22" s="6" t="s">
        <v>26</v>
      </c>
      <c r="C22" s="6"/>
      <c r="D22" s="6"/>
      <c r="E22" s="6"/>
      <c r="F22" s="6"/>
    </row>
    <row r="23" customFormat="false" ht="30" hidden="false" customHeight="true" outlineLevel="0" collapsed="false">
      <c r="B23" s="6" t="s">
        <v>27</v>
      </c>
      <c r="C23" s="6"/>
      <c r="D23" s="6"/>
      <c r="E23" s="6"/>
      <c r="F23" s="6"/>
    </row>
    <row r="24" customFormat="false" ht="30" hidden="false" customHeight="true" outlineLevel="0" collapsed="false">
      <c r="B24" s="6" t="s">
        <v>28</v>
      </c>
      <c r="C24" s="6"/>
      <c r="D24" s="6"/>
      <c r="E24" s="6"/>
      <c r="F24" s="6"/>
    </row>
    <row r="26" customFormat="false" ht="31.5" hidden="false" customHeight="true" outlineLevel="0" collapsed="false">
      <c r="B26" s="18" t="s">
        <v>29</v>
      </c>
      <c r="C26" s="18"/>
      <c r="D26" s="18"/>
      <c r="E26" s="18"/>
      <c r="F26" s="18"/>
    </row>
  </sheetData>
  <mergeCells count="24">
    <mergeCell ref="B2:F2"/>
    <mergeCell ref="B3:F3"/>
    <mergeCell ref="B5:F5"/>
    <mergeCell ref="B6:F6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B15:F15"/>
    <mergeCell ref="C16:F16"/>
    <mergeCell ref="C17:F17"/>
    <mergeCell ref="C18:F18"/>
    <mergeCell ref="B20:F20"/>
    <mergeCell ref="B21:F21"/>
    <mergeCell ref="B22:F22"/>
    <mergeCell ref="B23:F23"/>
    <mergeCell ref="B24:F24"/>
    <mergeCell ref="B26:F26"/>
  </mergeCells>
  <hyperlinks>
    <hyperlink ref="B26" r:id="rId1" display="📅  Werte dein Tracking mit uns aus → kostenloses Strategiegespräch buch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6"/>
    <col collapsed="false" customWidth="true" hidden="false" outlineLevel="0" max="3" min="3" style="1" width="8"/>
    <col collapsed="false" customWidth="true" hidden="false" outlineLevel="0" max="4" min="4" style="1" width="12"/>
    <col collapsed="false" customWidth="true" hidden="false" outlineLevel="0" max="6" min="5" style="1" width="11"/>
    <col collapsed="false" customWidth="true" hidden="false" outlineLevel="0" max="8" min="7" style="1" width="12"/>
  </cols>
  <sheetData>
    <row r="1" customFormat="false" ht="30" hidden="false" customHeight="true" outlineLevel="0" collapsed="false">
      <c r="A1" s="19" t="s">
        <v>30</v>
      </c>
      <c r="B1" s="19"/>
      <c r="C1" s="19"/>
      <c r="D1" s="19"/>
      <c r="E1" s="19"/>
      <c r="F1" s="19"/>
      <c r="G1" s="19"/>
      <c r="H1" s="19"/>
    </row>
    <row r="2" customFormat="false" ht="23.25" hidden="false" customHeight="true" outlineLevel="0" collapsed="false">
      <c r="A2" s="20" t="s">
        <v>31</v>
      </c>
      <c r="B2" s="20"/>
      <c r="C2" s="20"/>
      <c r="D2" s="20"/>
      <c r="E2" s="20"/>
      <c r="F2" s="20"/>
      <c r="G2" s="20"/>
      <c r="H2" s="20"/>
    </row>
    <row r="3" customFormat="false" ht="26.25" hidden="false" customHeight="true" outlineLevel="0" collapsed="false">
      <c r="A3" s="21" t="s">
        <v>32</v>
      </c>
      <c r="B3" s="22" t="n">
        <v>46174</v>
      </c>
      <c r="C3" s="23" t="s">
        <v>33</v>
      </c>
      <c r="D3" s="23"/>
      <c r="E3" s="23"/>
      <c r="F3" s="23"/>
      <c r="G3" s="23"/>
      <c r="H3" s="23"/>
    </row>
    <row r="5" customFormat="false" ht="15" hidden="false" customHeight="true" outlineLevel="0" collapsed="false">
      <c r="A5" s="24" t="s">
        <v>34</v>
      </c>
      <c r="B5" s="25"/>
      <c r="C5" s="26" t="n">
        <f aca="false">SUM(C7:C37)</f>
        <v>10</v>
      </c>
      <c r="D5" s="26" t="n">
        <f aca="false">SUM(D7:D37)</f>
        <v>10630</v>
      </c>
      <c r="E5" s="26" t="n">
        <f aca="false">SUM(E7:E37)</f>
        <v>531</v>
      </c>
      <c r="F5" s="26" t="n">
        <f aca="false">SUM(F7:F37)</f>
        <v>57</v>
      </c>
      <c r="G5" s="26" t="n">
        <f aca="false">SUM(G7:G37)</f>
        <v>10</v>
      </c>
      <c r="H5" s="27" t="n">
        <f aca="false">IFERROR(G5/D5*1000,0)</f>
        <v>0.940733772342427</v>
      </c>
    </row>
    <row r="6" customFormat="false" ht="30" hidden="false" customHeight="true" outlineLevel="0" collapsed="false">
      <c r="A6" s="28" t="s">
        <v>35</v>
      </c>
      <c r="B6" s="28" t="s">
        <v>36</v>
      </c>
      <c r="C6" s="28" t="s">
        <v>37</v>
      </c>
      <c r="D6" s="28" t="s">
        <v>38</v>
      </c>
      <c r="E6" s="28" t="s">
        <v>39</v>
      </c>
      <c r="F6" s="28" t="s">
        <v>40</v>
      </c>
      <c r="G6" s="28" t="s">
        <v>41</v>
      </c>
      <c r="H6" s="28" t="s">
        <v>42</v>
      </c>
    </row>
    <row r="7" customFormat="false" ht="15" hidden="false" customHeight="true" outlineLevel="0" collapsed="false">
      <c r="A7" s="29" t="n">
        <f aca="false">$B$3</f>
        <v>46174</v>
      </c>
      <c r="B7" s="30" t="n">
        <f aca="false">IFERROR(WEEKNUM(A7,21),"")</f>
        <v>23</v>
      </c>
      <c r="C7" s="31" t="n">
        <v>2</v>
      </c>
      <c r="D7" s="31" t="n">
        <v>1850</v>
      </c>
      <c r="E7" s="31" t="n">
        <v>95</v>
      </c>
      <c r="F7" s="31" t="n">
        <v>11</v>
      </c>
      <c r="G7" s="31" t="n">
        <v>2</v>
      </c>
      <c r="H7" s="32" t="n">
        <f aca="false">IFERROR(G7/D7*1000,0)</f>
        <v>1.08108108108108</v>
      </c>
    </row>
    <row r="8" customFormat="false" ht="15" hidden="false" customHeight="true" outlineLevel="0" collapsed="false">
      <c r="A8" s="29" t="n">
        <f aca="false">A7+1</f>
        <v>46175</v>
      </c>
      <c r="B8" s="30" t="n">
        <f aca="false">IFERROR(WEEKNUM(A8,21),"")</f>
        <v>23</v>
      </c>
      <c r="C8" s="31" t="n">
        <v>1</v>
      </c>
      <c r="D8" s="31" t="n">
        <v>1240</v>
      </c>
      <c r="E8" s="31" t="n">
        <v>61</v>
      </c>
      <c r="F8" s="31" t="n">
        <v>6</v>
      </c>
      <c r="G8" s="31" t="n">
        <v>1</v>
      </c>
      <c r="H8" s="32" t="n">
        <f aca="false">IFERROR(G8/D8*1000,0)</f>
        <v>0.806451612903226</v>
      </c>
    </row>
    <row r="9" customFormat="false" ht="15" hidden="false" customHeight="true" outlineLevel="0" collapsed="false">
      <c r="A9" s="29" t="n">
        <f aca="false">A8+1</f>
        <v>46176</v>
      </c>
      <c r="B9" s="30" t="n">
        <f aca="false">IFERROR(WEEKNUM(A9,21),"")</f>
        <v>23</v>
      </c>
      <c r="C9" s="31" t="n">
        <v>2</v>
      </c>
      <c r="D9" s="31" t="n">
        <v>2380</v>
      </c>
      <c r="E9" s="31" t="n">
        <v>120</v>
      </c>
      <c r="F9" s="31" t="n">
        <v>14</v>
      </c>
      <c r="G9" s="31" t="n">
        <v>3</v>
      </c>
      <c r="H9" s="32" t="n">
        <f aca="false">IFERROR(G9/D9*1000,0)</f>
        <v>1.26050420168067</v>
      </c>
    </row>
    <row r="10" customFormat="false" ht="15" hidden="false" customHeight="true" outlineLevel="0" collapsed="false">
      <c r="A10" s="29" t="n">
        <f aca="false">A9+1</f>
        <v>46177</v>
      </c>
      <c r="B10" s="30" t="n">
        <f aca="false">IFERROR(WEEKNUM(A10,21),"")</f>
        <v>23</v>
      </c>
      <c r="C10" s="31" t="n">
        <v>1</v>
      </c>
      <c r="D10" s="31" t="n">
        <v>980</v>
      </c>
      <c r="E10" s="31" t="n">
        <v>44</v>
      </c>
      <c r="F10" s="31" t="n">
        <v>4</v>
      </c>
      <c r="G10" s="31" t="n">
        <v>0</v>
      </c>
      <c r="H10" s="32" t="n">
        <f aca="false">IFERROR(G10/D10*1000,0)</f>
        <v>0</v>
      </c>
    </row>
    <row r="11" customFormat="false" ht="15" hidden="false" customHeight="true" outlineLevel="0" collapsed="false">
      <c r="A11" s="29" t="n">
        <f aca="false">A10+1</f>
        <v>46178</v>
      </c>
      <c r="B11" s="30" t="n">
        <f aca="false">IFERROR(WEEKNUM(A11,21),"")</f>
        <v>23</v>
      </c>
      <c r="C11" s="31" t="n">
        <v>2</v>
      </c>
      <c r="D11" s="31" t="n">
        <v>2100</v>
      </c>
      <c r="E11" s="31" t="n">
        <v>108</v>
      </c>
      <c r="F11" s="31" t="n">
        <v>12</v>
      </c>
      <c r="G11" s="31" t="n">
        <v>2</v>
      </c>
      <c r="H11" s="32" t="n">
        <f aca="false">IFERROR(G11/D11*1000,0)</f>
        <v>0.952380952380952</v>
      </c>
    </row>
    <row r="12" customFormat="false" ht="15" hidden="false" customHeight="true" outlineLevel="0" collapsed="false">
      <c r="A12" s="29" t="n">
        <f aca="false">A11+1</f>
        <v>46179</v>
      </c>
      <c r="B12" s="30" t="n">
        <f aca="false">IFERROR(WEEKNUM(A12,21),"")</f>
        <v>23</v>
      </c>
      <c r="C12" s="31" t="n">
        <v>1</v>
      </c>
      <c r="D12" s="31" t="n">
        <v>760</v>
      </c>
      <c r="E12" s="31" t="n">
        <v>33</v>
      </c>
      <c r="F12" s="31" t="n">
        <v>3</v>
      </c>
      <c r="G12" s="31" t="n">
        <v>1</v>
      </c>
      <c r="H12" s="32" t="n">
        <f aca="false">IFERROR(G12/D12*1000,0)</f>
        <v>1.31578947368421</v>
      </c>
    </row>
    <row r="13" customFormat="false" ht="15" hidden="false" customHeight="true" outlineLevel="0" collapsed="false">
      <c r="A13" s="29" t="n">
        <f aca="false">A12+1</f>
        <v>46180</v>
      </c>
      <c r="B13" s="30" t="n">
        <f aca="false">IFERROR(WEEKNUM(A13,21),"")</f>
        <v>23</v>
      </c>
      <c r="C13" s="31" t="n">
        <v>1</v>
      </c>
      <c r="D13" s="31" t="n">
        <v>1320</v>
      </c>
      <c r="E13" s="31" t="n">
        <v>70</v>
      </c>
      <c r="F13" s="31" t="n">
        <v>7</v>
      </c>
      <c r="G13" s="31" t="n">
        <v>1</v>
      </c>
      <c r="H13" s="32" t="n">
        <f aca="false">IFERROR(G13/D13*1000,0)</f>
        <v>0.757575757575758</v>
      </c>
    </row>
    <row r="14" customFormat="false" ht="15" hidden="false" customHeight="true" outlineLevel="0" collapsed="false">
      <c r="A14" s="29" t="n">
        <f aca="false">A13+1</f>
        <v>46181</v>
      </c>
      <c r="B14" s="30" t="n">
        <f aca="false">IFERROR(WEEKNUM(A14,21),"")</f>
        <v>24</v>
      </c>
      <c r="C14" s="31"/>
      <c r="D14" s="31"/>
      <c r="E14" s="31"/>
      <c r="F14" s="31"/>
      <c r="G14" s="31"/>
      <c r="H14" s="32" t="n">
        <f aca="false">IFERROR(G14/D14*1000,0)</f>
        <v>0</v>
      </c>
    </row>
    <row r="15" customFormat="false" ht="15" hidden="false" customHeight="true" outlineLevel="0" collapsed="false">
      <c r="A15" s="29" t="n">
        <f aca="false">A14+1</f>
        <v>46182</v>
      </c>
      <c r="B15" s="30" t="n">
        <f aca="false">IFERROR(WEEKNUM(A15,21),"")</f>
        <v>24</v>
      </c>
      <c r="C15" s="31"/>
      <c r="D15" s="31"/>
      <c r="E15" s="31"/>
      <c r="F15" s="31"/>
      <c r="G15" s="31"/>
      <c r="H15" s="32" t="n">
        <f aca="false">IFERROR(G15/D15*1000,0)</f>
        <v>0</v>
      </c>
    </row>
    <row r="16" customFormat="false" ht="15" hidden="false" customHeight="true" outlineLevel="0" collapsed="false">
      <c r="A16" s="29" t="n">
        <f aca="false">A15+1</f>
        <v>46183</v>
      </c>
      <c r="B16" s="30" t="n">
        <f aca="false">IFERROR(WEEKNUM(A16,21),"")</f>
        <v>24</v>
      </c>
      <c r="C16" s="31"/>
      <c r="D16" s="31"/>
      <c r="E16" s="31"/>
      <c r="F16" s="31"/>
      <c r="G16" s="31"/>
      <c r="H16" s="32" t="n">
        <f aca="false">IFERROR(G16/D16*1000,0)</f>
        <v>0</v>
      </c>
    </row>
    <row r="17" customFormat="false" ht="15" hidden="false" customHeight="true" outlineLevel="0" collapsed="false">
      <c r="A17" s="29" t="n">
        <f aca="false">A16+1</f>
        <v>46184</v>
      </c>
      <c r="B17" s="30" t="n">
        <f aca="false">IFERROR(WEEKNUM(A17,21),"")</f>
        <v>24</v>
      </c>
      <c r="C17" s="31"/>
      <c r="D17" s="31"/>
      <c r="E17" s="31"/>
      <c r="F17" s="31"/>
      <c r="G17" s="31"/>
      <c r="H17" s="32" t="n">
        <f aca="false">IFERROR(G17/D17*1000,0)</f>
        <v>0</v>
      </c>
    </row>
    <row r="18" customFormat="false" ht="15" hidden="false" customHeight="true" outlineLevel="0" collapsed="false">
      <c r="A18" s="29" t="n">
        <f aca="false">A17+1</f>
        <v>46185</v>
      </c>
      <c r="B18" s="30" t="n">
        <f aca="false">IFERROR(WEEKNUM(A18,21),"")</f>
        <v>24</v>
      </c>
      <c r="C18" s="31"/>
      <c r="D18" s="31"/>
      <c r="E18" s="31"/>
      <c r="F18" s="31"/>
      <c r="G18" s="31"/>
      <c r="H18" s="32" t="n">
        <f aca="false">IFERROR(G18/D18*1000,0)</f>
        <v>0</v>
      </c>
    </row>
    <row r="19" customFormat="false" ht="15" hidden="false" customHeight="true" outlineLevel="0" collapsed="false">
      <c r="A19" s="29" t="n">
        <f aca="false">A18+1</f>
        <v>46186</v>
      </c>
      <c r="B19" s="30" t="n">
        <f aca="false">IFERROR(WEEKNUM(A19,21),"")</f>
        <v>24</v>
      </c>
      <c r="C19" s="31"/>
      <c r="D19" s="31"/>
      <c r="E19" s="31"/>
      <c r="F19" s="31"/>
      <c r="G19" s="31"/>
      <c r="H19" s="32" t="n">
        <f aca="false">IFERROR(G19/D19*1000,0)</f>
        <v>0</v>
      </c>
    </row>
    <row r="20" customFormat="false" ht="15" hidden="false" customHeight="true" outlineLevel="0" collapsed="false">
      <c r="A20" s="29" t="n">
        <f aca="false">A19+1</f>
        <v>46187</v>
      </c>
      <c r="B20" s="30" t="n">
        <f aca="false">IFERROR(WEEKNUM(A20,21),"")</f>
        <v>24</v>
      </c>
      <c r="C20" s="31"/>
      <c r="D20" s="31"/>
      <c r="E20" s="31"/>
      <c r="F20" s="31"/>
      <c r="G20" s="31"/>
      <c r="H20" s="32" t="n">
        <f aca="false">IFERROR(G20/D20*1000,0)</f>
        <v>0</v>
      </c>
    </row>
    <row r="21" customFormat="false" ht="15" hidden="false" customHeight="true" outlineLevel="0" collapsed="false">
      <c r="A21" s="29" t="n">
        <f aca="false">A20+1</f>
        <v>46188</v>
      </c>
      <c r="B21" s="30" t="n">
        <f aca="false">IFERROR(WEEKNUM(A21,21),"")</f>
        <v>25</v>
      </c>
      <c r="C21" s="31"/>
      <c r="D21" s="31"/>
      <c r="E21" s="31"/>
      <c r="F21" s="31"/>
      <c r="G21" s="31"/>
      <c r="H21" s="32" t="n">
        <f aca="false">IFERROR(G21/D21*1000,0)</f>
        <v>0</v>
      </c>
    </row>
    <row r="22" customFormat="false" ht="15" hidden="false" customHeight="true" outlineLevel="0" collapsed="false">
      <c r="A22" s="29" t="n">
        <f aca="false">A21+1</f>
        <v>46189</v>
      </c>
      <c r="B22" s="30" t="n">
        <f aca="false">IFERROR(WEEKNUM(A22,21),"")</f>
        <v>25</v>
      </c>
      <c r="C22" s="31"/>
      <c r="D22" s="31"/>
      <c r="E22" s="31"/>
      <c r="F22" s="31"/>
      <c r="G22" s="31"/>
      <c r="H22" s="32" t="n">
        <f aca="false">IFERROR(G22/D22*1000,0)</f>
        <v>0</v>
      </c>
    </row>
    <row r="23" customFormat="false" ht="15" hidden="false" customHeight="true" outlineLevel="0" collapsed="false">
      <c r="A23" s="29" t="n">
        <f aca="false">A22+1</f>
        <v>46190</v>
      </c>
      <c r="B23" s="30" t="n">
        <f aca="false">IFERROR(WEEKNUM(A23,21),"")</f>
        <v>25</v>
      </c>
      <c r="C23" s="31"/>
      <c r="D23" s="31"/>
      <c r="E23" s="31"/>
      <c r="F23" s="31"/>
      <c r="G23" s="31"/>
      <c r="H23" s="32" t="n">
        <f aca="false">IFERROR(G23/D23*1000,0)</f>
        <v>0</v>
      </c>
    </row>
    <row r="24" customFormat="false" ht="15" hidden="false" customHeight="true" outlineLevel="0" collapsed="false">
      <c r="A24" s="29" t="n">
        <f aca="false">A23+1</f>
        <v>46191</v>
      </c>
      <c r="B24" s="30" t="n">
        <f aca="false">IFERROR(WEEKNUM(A24,21),"")</f>
        <v>25</v>
      </c>
      <c r="C24" s="31"/>
      <c r="D24" s="31"/>
      <c r="E24" s="31"/>
      <c r="F24" s="31"/>
      <c r="G24" s="31"/>
      <c r="H24" s="32" t="n">
        <f aca="false">IFERROR(G24/D24*1000,0)</f>
        <v>0</v>
      </c>
    </row>
    <row r="25" customFormat="false" ht="15" hidden="false" customHeight="true" outlineLevel="0" collapsed="false">
      <c r="A25" s="29" t="n">
        <f aca="false">A24+1</f>
        <v>46192</v>
      </c>
      <c r="B25" s="30" t="n">
        <f aca="false">IFERROR(WEEKNUM(A25,21),"")</f>
        <v>25</v>
      </c>
      <c r="C25" s="31"/>
      <c r="D25" s="31"/>
      <c r="E25" s="31"/>
      <c r="F25" s="31"/>
      <c r="G25" s="31"/>
      <c r="H25" s="32" t="n">
        <f aca="false">IFERROR(G25/D25*1000,0)</f>
        <v>0</v>
      </c>
    </row>
    <row r="26" customFormat="false" ht="15" hidden="false" customHeight="true" outlineLevel="0" collapsed="false">
      <c r="A26" s="29" t="n">
        <f aca="false">A25+1</f>
        <v>46193</v>
      </c>
      <c r="B26" s="30" t="n">
        <f aca="false">IFERROR(WEEKNUM(A26,21),"")</f>
        <v>25</v>
      </c>
      <c r="C26" s="31"/>
      <c r="D26" s="31"/>
      <c r="E26" s="31"/>
      <c r="F26" s="31"/>
      <c r="G26" s="31"/>
      <c r="H26" s="32" t="n">
        <f aca="false">IFERROR(G26/D26*1000,0)</f>
        <v>0</v>
      </c>
    </row>
    <row r="27" customFormat="false" ht="15" hidden="false" customHeight="true" outlineLevel="0" collapsed="false">
      <c r="A27" s="29" t="n">
        <f aca="false">A26+1</f>
        <v>46194</v>
      </c>
      <c r="B27" s="30" t="n">
        <f aca="false">IFERROR(WEEKNUM(A27,21),"")</f>
        <v>25</v>
      </c>
      <c r="C27" s="31"/>
      <c r="D27" s="31"/>
      <c r="E27" s="31"/>
      <c r="F27" s="31"/>
      <c r="G27" s="31"/>
      <c r="H27" s="32" t="n">
        <f aca="false">IFERROR(G27/D27*1000,0)</f>
        <v>0</v>
      </c>
    </row>
    <row r="28" customFormat="false" ht="15" hidden="false" customHeight="true" outlineLevel="0" collapsed="false">
      <c r="A28" s="29" t="n">
        <f aca="false">A27+1</f>
        <v>46195</v>
      </c>
      <c r="B28" s="30" t="n">
        <f aca="false">IFERROR(WEEKNUM(A28,21),"")</f>
        <v>26</v>
      </c>
      <c r="C28" s="31"/>
      <c r="D28" s="31"/>
      <c r="E28" s="31"/>
      <c r="F28" s="31"/>
      <c r="G28" s="31"/>
      <c r="H28" s="32" t="n">
        <f aca="false">IFERROR(G28/D28*1000,0)</f>
        <v>0</v>
      </c>
    </row>
    <row r="29" customFormat="false" ht="15" hidden="false" customHeight="true" outlineLevel="0" collapsed="false">
      <c r="A29" s="29" t="n">
        <f aca="false">A28+1</f>
        <v>46196</v>
      </c>
      <c r="B29" s="30" t="n">
        <f aca="false">IFERROR(WEEKNUM(A29,21),"")</f>
        <v>26</v>
      </c>
      <c r="C29" s="31"/>
      <c r="D29" s="31"/>
      <c r="E29" s="31"/>
      <c r="F29" s="31"/>
      <c r="G29" s="31"/>
      <c r="H29" s="32" t="n">
        <f aca="false">IFERROR(G29/D29*1000,0)</f>
        <v>0</v>
      </c>
    </row>
    <row r="30" customFormat="false" ht="15" hidden="false" customHeight="true" outlineLevel="0" collapsed="false">
      <c r="A30" s="29" t="n">
        <f aca="false">A29+1</f>
        <v>46197</v>
      </c>
      <c r="B30" s="30" t="n">
        <f aca="false">IFERROR(WEEKNUM(A30,21),"")</f>
        <v>26</v>
      </c>
      <c r="C30" s="31"/>
      <c r="D30" s="31"/>
      <c r="E30" s="31"/>
      <c r="F30" s="31"/>
      <c r="G30" s="31"/>
      <c r="H30" s="32" t="n">
        <f aca="false">IFERROR(G30/D30*1000,0)</f>
        <v>0</v>
      </c>
    </row>
    <row r="31" customFormat="false" ht="15" hidden="false" customHeight="true" outlineLevel="0" collapsed="false">
      <c r="A31" s="29" t="n">
        <f aca="false">A30+1</f>
        <v>46198</v>
      </c>
      <c r="B31" s="30" t="n">
        <f aca="false">IFERROR(WEEKNUM(A31,21),"")</f>
        <v>26</v>
      </c>
      <c r="C31" s="31"/>
      <c r="D31" s="31"/>
      <c r="E31" s="31"/>
      <c r="F31" s="31"/>
      <c r="G31" s="31"/>
      <c r="H31" s="32" t="n">
        <f aca="false">IFERROR(G31/D31*1000,0)</f>
        <v>0</v>
      </c>
    </row>
    <row r="32" customFormat="false" ht="15" hidden="false" customHeight="true" outlineLevel="0" collapsed="false">
      <c r="A32" s="29" t="n">
        <f aca="false">A31+1</f>
        <v>46199</v>
      </c>
      <c r="B32" s="30" t="n">
        <f aca="false">IFERROR(WEEKNUM(A32,21),"")</f>
        <v>26</v>
      </c>
      <c r="C32" s="31"/>
      <c r="D32" s="31"/>
      <c r="E32" s="31"/>
      <c r="F32" s="31"/>
      <c r="G32" s="31"/>
      <c r="H32" s="32" t="n">
        <f aca="false">IFERROR(G32/D32*1000,0)</f>
        <v>0</v>
      </c>
    </row>
    <row r="33" customFormat="false" ht="15" hidden="false" customHeight="true" outlineLevel="0" collapsed="false">
      <c r="A33" s="29" t="n">
        <f aca="false">A32+1</f>
        <v>46200</v>
      </c>
      <c r="B33" s="30" t="n">
        <f aca="false">IFERROR(WEEKNUM(A33,21),"")</f>
        <v>26</v>
      </c>
      <c r="C33" s="31"/>
      <c r="D33" s="31"/>
      <c r="E33" s="31"/>
      <c r="F33" s="31"/>
      <c r="G33" s="31"/>
      <c r="H33" s="32" t="n">
        <f aca="false">IFERROR(G33/D33*1000,0)</f>
        <v>0</v>
      </c>
    </row>
    <row r="34" customFormat="false" ht="15" hidden="false" customHeight="true" outlineLevel="0" collapsed="false">
      <c r="A34" s="29" t="n">
        <f aca="false">A33+1</f>
        <v>46201</v>
      </c>
      <c r="B34" s="30" t="n">
        <f aca="false">IFERROR(WEEKNUM(A34,21),"")</f>
        <v>26</v>
      </c>
      <c r="C34" s="31"/>
      <c r="D34" s="31"/>
      <c r="E34" s="31"/>
      <c r="F34" s="31"/>
      <c r="G34" s="31"/>
      <c r="H34" s="32" t="n">
        <f aca="false">IFERROR(G34/D34*1000,0)</f>
        <v>0</v>
      </c>
    </row>
    <row r="35" customFormat="false" ht="15" hidden="false" customHeight="true" outlineLevel="0" collapsed="false">
      <c r="A35" s="29" t="n">
        <f aca="false">A34+1</f>
        <v>46202</v>
      </c>
      <c r="B35" s="30" t="n">
        <f aca="false">IFERROR(WEEKNUM(A35,21),"")</f>
        <v>27</v>
      </c>
      <c r="C35" s="31"/>
      <c r="D35" s="31"/>
      <c r="E35" s="31"/>
      <c r="F35" s="31"/>
      <c r="G35" s="31"/>
      <c r="H35" s="32" t="n">
        <f aca="false">IFERROR(G35/D35*1000,0)</f>
        <v>0</v>
      </c>
    </row>
    <row r="36" customFormat="false" ht="15" hidden="false" customHeight="true" outlineLevel="0" collapsed="false">
      <c r="A36" s="29" t="n">
        <f aca="false">A35+1</f>
        <v>46203</v>
      </c>
      <c r="B36" s="30" t="n">
        <f aca="false">IFERROR(WEEKNUM(A36,21),"")</f>
        <v>27</v>
      </c>
      <c r="C36" s="31"/>
      <c r="D36" s="31"/>
      <c r="E36" s="31"/>
      <c r="F36" s="31"/>
      <c r="G36" s="31"/>
      <c r="H36" s="32" t="n">
        <f aca="false">IFERROR(G36/D36*1000,0)</f>
        <v>0</v>
      </c>
    </row>
    <row r="37" customFormat="false" ht="15" hidden="false" customHeight="true" outlineLevel="0" collapsed="false">
      <c r="A37" s="29" t="n">
        <f aca="false">A36+1</f>
        <v>46204</v>
      </c>
      <c r="B37" s="30" t="n">
        <f aca="false">IFERROR(WEEKNUM(A37,21),"")</f>
        <v>27</v>
      </c>
      <c r="C37" s="31"/>
      <c r="D37" s="31"/>
      <c r="E37" s="31"/>
      <c r="F37" s="31"/>
      <c r="G37" s="31"/>
      <c r="H37" s="32" t="n">
        <f aca="false">IFERROR(G37/D37*1000,0)</f>
        <v>0</v>
      </c>
    </row>
    <row r="39" customFormat="false" ht="27.75" hidden="false" customHeight="true" outlineLevel="0" collapsed="false">
      <c r="A39" s="33" t="s">
        <v>43</v>
      </c>
      <c r="B39" s="33"/>
      <c r="C39" s="33"/>
      <c r="D39" s="33"/>
      <c r="E39" s="33"/>
      <c r="F39" s="33"/>
      <c r="G39" s="33"/>
      <c r="H39" s="33"/>
    </row>
    <row r="40" customFormat="false" ht="15" hidden="false" customHeight="true" outlineLevel="0" collapsed="false">
      <c r="A40" s="34" t="s">
        <v>44</v>
      </c>
      <c r="B40" s="34"/>
      <c r="C40" s="34"/>
      <c r="D40" s="34"/>
      <c r="E40" s="34"/>
      <c r="F40" s="34"/>
      <c r="G40" s="34"/>
      <c r="H40" s="34"/>
    </row>
  </sheetData>
  <mergeCells count="5">
    <mergeCell ref="A1:H1"/>
    <mergeCell ref="A2:H2"/>
    <mergeCell ref="C3:H3"/>
    <mergeCell ref="A39:H39"/>
    <mergeCell ref="A40:H40"/>
  </mergeCells>
  <hyperlinks>
    <hyperlink ref="A39" r:id="rId1" display="Zu viele Zahlen? Genau dafür ist das Strategiegespräch — wir werten es mit dir aus und bauen den automatisierten Funnel.  📅 Jetzt buchen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6"/>
    <col collapsed="false" customWidth="true" hidden="false" outlineLevel="0" max="4" min="3" style="1" width="11"/>
    <col collapsed="false" customWidth="true" hidden="false" outlineLevel="0" max="12" min="5" style="1" width="9"/>
    <col collapsed="false" customWidth="true" hidden="false" outlineLevel="0" max="13" min="13" style="1" width="7"/>
    <col collapsed="false" customWidth="true" hidden="false" outlineLevel="0" max="14" min="14" style="1" width="11"/>
    <col collapsed="false" customWidth="true" hidden="false" outlineLevel="0" max="15" min="15" style="1" width="10"/>
    <col collapsed="false" customWidth="true" hidden="false" outlineLevel="0" max="16" min="16" style="1" width="8"/>
  </cols>
  <sheetData>
    <row r="1" customFormat="false" ht="30" hidden="false" customHeight="true" outlineLevel="0" collapsed="false">
      <c r="A1" s="19" t="s">
        <v>45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</row>
    <row r="2" customFormat="false" ht="15" hidden="false" customHeight="true" outlineLevel="0" collapsed="false">
      <c r="A2" s="20" t="s">
        <v>46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customFormat="false" ht="26.25" hidden="false" customHeight="true" outlineLevel="0" collapsed="false">
      <c r="A3" s="21" t="s">
        <v>32</v>
      </c>
      <c r="B3" s="22" t="n">
        <v>46174</v>
      </c>
      <c r="C3" s="23" t="s">
        <v>33</v>
      </c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</row>
    <row r="5" customFormat="false" ht="15" hidden="false" customHeight="true" outlineLevel="0" collapsed="false">
      <c r="A5" s="24" t="s">
        <v>34</v>
      </c>
      <c r="B5" s="25"/>
      <c r="C5" s="35" t="n">
        <f aca="false">SUM(C7:C37)</f>
        <v>163</v>
      </c>
      <c r="D5" s="26" t="n">
        <f aca="false">SUM(D7:D37)</f>
        <v>27900</v>
      </c>
      <c r="E5" s="35" t="n">
        <f aca="false">IFERROR(C5/D5*1000,0)</f>
        <v>5.84229390681004</v>
      </c>
      <c r="F5" s="26" t="n">
        <f aca="false">SUM(F7:F37)</f>
        <v>602</v>
      </c>
      <c r="G5" s="35" t="n">
        <f aca="false">IFERROR(C5/F5,0)</f>
        <v>0.270764119601329</v>
      </c>
      <c r="H5" s="26" t="n">
        <f aca="false">SUM(H7:H37)</f>
        <v>501</v>
      </c>
      <c r="I5" s="26" t="n">
        <f aca="false">SUM(I7:I37)</f>
        <v>155</v>
      </c>
      <c r="J5" s="35" t="n">
        <f aca="false">IFERROR(C5/I5,0)</f>
        <v>1.05161290322581</v>
      </c>
      <c r="K5" s="36" t="n">
        <f aca="false">IFERROR(I5/H5,0)</f>
        <v>0.30938123752495</v>
      </c>
      <c r="L5" s="26" t="n">
        <f aca="false">SUM(L7:L37)</f>
        <v>126</v>
      </c>
      <c r="M5" s="26" t="n">
        <f aca="false">SUM(M7:M37)</f>
        <v>5</v>
      </c>
      <c r="N5" s="35" t="n">
        <f aca="false">SUM(N7:N37)</f>
        <v>145</v>
      </c>
      <c r="O5" s="35" t="n">
        <f aca="false">IFERROR(C5/M5,0)</f>
        <v>32.6</v>
      </c>
      <c r="P5" s="37" t="n">
        <f aca="false">IFERROR(N5/C5,0)</f>
        <v>0.889570552147239</v>
      </c>
    </row>
    <row r="6" customFormat="false" ht="30" hidden="false" customHeight="true" outlineLevel="0" collapsed="false">
      <c r="A6" s="28" t="s">
        <v>35</v>
      </c>
      <c r="B6" s="28" t="s">
        <v>36</v>
      </c>
      <c r="C6" s="28" t="s">
        <v>47</v>
      </c>
      <c r="D6" s="28" t="s">
        <v>48</v>
      </c>
      <c r="E6" s="28" t="s">
        <v>49</v>
      </c>
      <c r="F6" s="28" t="s">
        <v>50</v>
      </c>
      <c r="G6" s="28" t="s">
        <v>51</v>
      </c>
      <c r="H6" s="28" t="s">
        <v>52</v>
      </c>
      <c r="I6" s="28" t="s">
        <v>53</v>
      </c>
      <c r="J6" s="28" t="s">
        <v>54</v>
      </c>
      <c r="K6" s="28" t="s">
        <v>55</v>
      </c>
      <c r="L6" s="28" t="s">
        <v>56</v>
      </c>
      <c r="M6" s="28" t="s">
        <v>57</v>
      </c>
      <c r="N6" s="28" t="s">
        <v>58</v>
      </c>
      <c r="O6" s="28" t="s">
        <v>59</v>
      </c>
      <c r="P6" s="28" t="s">
        <v>60</v>
      </c>
    </row>
    <row r="7" customFormat="false" ht="15" hidden="false" customHeight="true" outlineLevel="0" collapsed="false">
      <c r="A7" s="29" t="n">
        <f aca="false">$B$3</f>
        <v>46174</v>
      </c>
      <c r="B7" s="30" t="n">
        <f aca="false">IFERROR(WEEKNUM(A7,21),"")</f>
        <v>23</v>
      </c>
      <c r="C7" s="38" t="n">
        <v>25</v>
      </c>
      <c r="D7" s="31" t="n">
        <v>4200</v>
      </c>
      <c r="E7" s="39" t="n">
        <f aca="false">IFERROR(C7/D7*1000,0)</f>
        <v>5.95238095238095</v>
      </c>
      <c r="F7" s="31" t="n">
        <v>98</v>
      </c>
      <c r="G7" s="39" t="n">
        <f aca="false">IFERROR(C7/F7,0)</f>
        <v>0.255102040816327</v>
      </c>
      <c r="H7" s="31" t="n">
        <v>82</v>
      </c>
      <c r="I7" s="31" t="n">
        <v>26</v>
      </c>
      <c r="J7" s="39" t="n">
        <f aca="false">IFERROR(C7/I7,0)</f>
        <v>0.961538461538462</v>
      </c>
      <c r="K7" s="40" t="n">
        <f aca="false">IFERROR(I7/H7,0)</f>
        <v>0.317073170731707</v>
      </c>
      <c r="L7" s="31" t="n">
        <v>21</v>
      </c>
      <c r="M7" s="31" t="n">
        <v>1</v>
      </c>
      <c r="N7" s="38" t="n">
        <v>29</v>
      </c>
      <c r="O7" s="39" t="n">
        <f aca="false">IFERROR(C7/M7,0)</f>
        <v>25</v>
      </c>
      <c r="P7" s="41" t="n">
        <f aca="false">IFERROR(N7/C7,0)</f>
        <v>1.16</v>
      </c>
    </row>
    <row r="8" customFormat="false" ht="15" hidden="false" customHeight="true" outlineLevel="0" collapsed="false">
      <c r="A8" s="29" t="n">
        <f aca="false">A7+1</f>
        <v>46175</v>
      </c>
      <c r="B8" s="30" t="n">
        <f aca="false">IFERROR(WEEKNUM(A8,21),"")</f>
        <v>23</v>
      </c>
      <c r="C8" s="38" t="n">
        <v>22</v>
      </c>
      <c r="D8" s="31" t="n">
        <v>3800</v>
      </c>
      <c r="E8" s="39" t="n">
        <f aca="false">IFERROR(C8/D8*1000,0)</f>
        <v>5.78947368421053</v>
      </c>
      <c r="F8" s="31" t="n">
        <v>76</v>
      </c>
      <c r="G8" s="39" t="n">
        <f aca="false">IFERROR(C8/F8,0)</f>
        <v>0.289473684210526</v>
      </c>
      <c r="H8" s="31" t="n">
        <v>61</v>
      </c>
      <c r="I8" s="31" t="n">
        <v>18</v>
      </c>
      <c r="J8" s="39" t="n">
        <f aca="false">IFERROR(C8/I8,0)</f>
        <v>1.22222222222222</v>
      </c>
      <c r="K8" s="40" t="n">
        <f aca="false">IFERROR(I8/H8,0)</f>
        <v>0.295081967213115</v>
      </c>
      <c r="L8" s="31" t="n">
        <v>15</v>
      </c>
      <c r="M8" s="31" t="n">
        <v>0</v>
      </c>
      <c r="N8" s="38" t="n">
        <v>0</v>
      </c>
      <c r="O8" s="39" t="n">
        <f aca="false">IFERROR(C8/M8,0)</f>
        <v>0</v>
      </c>
      <c r="P8" s="41" t="n">
        <f aca="false">IFERROR(N8/C8,0)</f>
        <v>0</v>
      </c>
    </row>
    <row r="9" customFormat="false" ht="15" hidden="false" customHeight="true" outlineLevel="0" collapsed="false">
      <c r="A9" s="29" t="n">
        <f aca="false">A8+1</f>
        <v>46176</v>
      </c>
      <c r="B9" s="30" t="n">
        <f aca="false">IFERROR(WEEKNUM(A9,21),"")</f>
        <v>23</v>
      </c>
      <c r="C9" s="38" t="n">
        <v>28</v>
      </c>
      <c r="D9" s="31" t="n">
        <v>5100</v>
      </c>
      <c r="E9" s="39" t="n">
        <f aca="false">IFERROR(C9/D9*1000,0)</f>
        <v>5.49019607843137</v>
      </c>
      <c r="F9" s="31" t="n">
        <v>112</v>
      </c>
      <c r="G9" s="39" t="n">
        <f aca="false">IFERROR(C9/F9,0)</f>
        <v>0.25</v>
      </c>
      <c r="H9" s="31" t="n">
        <v>95</v>
      </c>
      <c r="I9" s="31" t="n">
        <v>31</v>
      </c>
      <c r="J9" s="39" t="n">
        <f aca="false">IFERROR(C9/I9,0)</f>
        <v>0.903225806451613</v>
      </c>
      <c r="K9" s="40" t="n">
        <f aca="false">IFERROR(I9/H9,0)</f>
        <v>0.326315789473684</v>
      </c>
      <c r="L9" s="31" t="n">
        <v>25</v>
      </c>
      <c r="M9" s="31" t="n">
        <v>2</v>
      </c>
      <c r="N9" s="38" t="n">
        <v>58</v>
      </c>
      <c r="O9" s="39" t="n">
        <f aca="false">IFERROR(C9/M9,0)</f>
        <v>14</v>
      </c>
      <c r="P9" s="41" t="n">
        <f aca="false">IFERROR(N9/C9,0)</f>
        <v>2.07142857142857</v>
      </c>
    </row>
    <row r="10" customFormat="false" ht="15" hidden="false" customHeight="true" outlineLevel="0" collapsed="false">
      <c r="A10" s="29" t="n">
        <f aca="false">A9+1</f>
        <v>46177</v>
      </c>
      <c r="B10" s="30" t="n">
        <f aca="false">IFERROR(WEEKNUM(A10,21),"")</f>
        <v>23</v>
      </c>
      <c r="C10" s="38" t="n">
        <v>20</v>
      </c>
      <c r="D10" s="31" t="n">
        <v>3300</v>
      </c>
      <c r="E10" s="39" t="n">
        <f aca="false">IFERROR(C10/D10*1000,0)</f>
        <v>6.06060606060606</v>
      </c>
      <c r="F10" s="31" t="n">
        <v>64</v>
      </c>
      <c r="G10" s="39" t="n">
        <f aca="false">IFERROR(C10/F10,0)</f>
        <v>0.3125</v>
      </c>
      <c r="H10" s="31" t="n">
        <v>55</v>
      </c>
      <c r="I10" s="31" t="n">
        <v>16</v>
      </c>
      <c r="J10" s="39" t="n">
        <f aca="false">IFERROR(C10/I10,0)</f>
        <v>1.25</v>
      </c>
      <c r="K10" s="40" t="n">
        <f aca="false">IFERROR(I10/H10,0)</f>
        <v>0.290909090909091</v>
      </c>
      <c r="L10" s="31" t="n">
        <v>13</v>
      </c>
      <c r="M10" s="31" t="n">
        <v>0</v>
      </c>
      <c r="N10" s="38" t="n">
        <v>0</v>
      </c>
      <c r="O10" s="39" t="n">
        <f aca="false">IFERROR(C10/M10,0)</f>
        <v>0</v>
      </c>
      <c r="P10" s="41" t="n">
        <f aca="false">IFERROR(N10/C10,0)</f>
        <v>0</v>
      </c>
    </row>
    <row r="11" customFormat="false" ht="15" hidden="false" customHeight="true" outlineLevel="0" collapsed="false">
      <c r="A11" s="29" t="n">
        <f aca="false">A10+1</f>
        <v>46178</v>
      </c>
      <c r="B11" s="30" t="n">
        <f aca="false">IFERROR(WEEKNUM(A11,21),"")</f>
        <v>23</v>
      </c>
      <c r="C11" s="38" t="n">
        <v>26</v>
      </c>
      <c r="D11" s="31" t="n">
        <v>4600</v>
      </c>
      <c r="E11" s="39" t="n">
        <f aca="false">IFERROR(C11/D11*1000,0)</f>
        <v>5.65217391304348</v>
      </c>
      <c r="F11" s="31" t="n">
        <v>104</v>
      </c>
      <c r="G11" s="39" t="n">
        <f aca="false">IFERROR(C11/F11,0)</f>
        <v>0.25</v>
      </c>
      <c r="H11" s="31" t="n">
        <v>88</v>
      </c>
      <c r="I11" s="31" t="n">
        <v>27</v>
      </c>
      <c r="J11" s="39" t="n">
        <f aca="false">IFERROR(C11/I11,0)</f>
        <v>0.962962962962963</v>
      </c>
      <c r="K11" s="40" t="n">
        <f aca="false">IFERROR(I11/H11,0)</f>
        <v>0.306818181818182</v>
      </c>
      <c r="L11" s="31" t="n">
        <v>22</v>
      </c>
      <c r="M11" s="31" t="n">
        <v>1</v>
      </c>
      <c r="N11" s="38" t="n">
        <v>29</v>
      </c>
      <c r="O11" s="39" t="n">
        <f aca="false">IFERROR(C11/M11,0)</f>
        <v>26</v>
      </c>
      <c r="P11" s="41" t="n">
        <f aca="false">IFERROR(N11/C11,0)</f>
        <v>1.11538461538462</v>
      </c>
    </row>
    <row r="12" customFormat="false" ht="15" hidden="false" customHeight="true" outlineLevel="0" collapsed="false">
      <c r="A12" s="29" t="n">
        <f aca="false">A11+1</f>
        <v>46179</v>
      </c>
      <c r="B12" s="30" t="n">
        <f aca="false">IFERROR(WEEKNUM(A12,21),"")</f>
        <v>23</v>
      </c>
      <c r="C12" s="38" t="n">
        <v>18</v>
      </c>
      <c r="D12" s="31" t="n">
        <v>2900</v>
      </c>
      <c r="E12" s="39" t="n">
        <f aca="false">IFERROR(C12/D12*1000,0)</f>
        <v>6.20689655172414</v>
      </c>
      <c r="F12" s="31" t="n">
        <v>58</v>
      </c>
      <c r="G12" s="39" t="n">
        <f aca="false">IFERROR(C12/F12,0)</f>
        <v>0.310344827586207</v>
      </c>
      <c r="H12" s="31" t="n">
        <v>47</v>
      </c>
      <c r="I12" s="31" t="n">
        <v>14</v>
      </c>
      <c r="J12" s="39" t="n">
        <f aca="false">IFERROR(C12/I12,0)</f>
        <v>1.28571428571429</v>
      </c>
      <c r="K12" s="40" t="n">
        <f aca="false">IFERROR(I12/H12,0)</f>
        <v>0.297872340425532</v>
      </c>
      <c r="L12" s="31" t="n">
        <v>11</v>
      </c>
      <c r="M12" s="31" t="n">
        <v>0</v>
      </c>
      <c r="N12" s="38" t="n">
        <v>0</v>
      </c>
      <c r="O12" s="39" t="n">
        <f aca="false">IFERROR(C12/M12,0)</f>
        <v>0</v>
      </c>
      <c r="P12" s="41" t="n">
        <f aca="false">IFERROR(N12/C12,0)</f>
        <v>0</v>
      </c>
    </row>
    <row r="13" customFormat="false" ht="15" hidden="false" customHeight="true" outlineLevel="0" collapsed="false">
      <c r="A13" s="29" t="n">
        <f aca="false">A12+1</f>
        <v>46180</v>
      </c>
      <c r="B13" s="30" t="n">
        <f aca="false">IFERROR(WEEKNUM(A13,21),"")</f>
        <v>23</v>
      </c>
      <c r="C13" s="38" t="n">
        <v>24</v>
      </c>
      <c r="D13" s="31" t="n">
        <v>4000</v>
      </c>
      <c r="E13" s="39" t="n">
        <f aca="false">IFERROR(C13/D13*1000,0)</f>
        <v>6</v>
      </c>
      <c r="F13" s="31" t="n">
        <v>90</v>
      </c>
      <c r="G13" s="39" t="n">
        <f aca="false">IFERROR(C13/F13,0)</f>
        <v>0.266666666666667</v>
      </c>
      <c r="H13" s="31" t="n">
        <v>73</v>
      </c>
      <c r="I13" s="31" t="n">
        <v>23</v>
      </c>
      <c r="J13" s="39" t="n">
        <f aca="false">IFERROR(C13/I13,0)</f>
        <v>1.04347826086957</v>
      </c>
      <c r="K13" s="40" t="n">
        <f aca="false">IFERROR(I13/H13,0)</f>
        <v>0.315068493150685</v>
      </c>
      <c r="L13" s="31" t="n">
        <v>19</v>
      </c>
      <c r="M13" s="31" t="n">
        <v>1</v>
      </c>
      <c r="N13" s="38" t="n">
        <v>29</v>
      </c>
      <c r="O13" s="39" t="n">
        <f aca="false">IFERROR(C13/M13,0)</f>
        <v>24</v>
      </c>
      <c r="P13" s="41" t="n">
        <f aca="false">IFERROR(N13/C13,0)</f>
        <v>1.20833333333333</v>
      </c>
    </row>
    <row r="14" customFormat="false" ht="15" hidden="false" customHeight="true" outlineLevel="0" collapsed="false">
      <c r="A14" s="29" t="n">
        <f aca="false">A13+1</f>
        <v>46181</v>
      </c>
      <c r="B14" s="30" t="n">
        <f aca="false">IFERROR(WEEKNUM(A14,21),"")</f>
        <v>24</v>
      </c>
      <c r="C14" s="38"/>
      <c r="D14" s="31"/>
      <c r="E14" s="39" t="n">
        <f aca="false">IFERROR(C14/D14*1000,0)</f>
        <v>0</v>
      </c>
      <c r="F14" s="31"/>
      <c r="G14" s="39" t="n">
        <f aca="false">IFERROR(C14/F14,0)</f>
        <v>0</v>
      </c>
      <c r="H14" s="31"/>
      <c r="I14" s="31"/>
      <c r="J14" s="39" t="n">
        <f aca="false">IFERROR(C14/I14,0)</f>
        <v>0</v>
      </c>
      <c r="K14" s="40" t="n">
        <f aca="false">IFERROR(I14/H14,0)</f>
        <v>0</v>
      </c>
      <c r="L14" s="31"/>
      <c r="M14" s="31"/>
      <c r="N14" s="38"/>
      <c r="O14" s="39" t="n">
        <f aca="false">IFERROR(C14/M14,0)</f>
        <v>0</v>
      </c>
      <c r="P14" s="41" t="n">
        <f aca="false">IFERROR(N14/C14,0)</f>
        <v>0</v>
      </c>
    </row>
    <row r="15" customFormat="false" ht="15" hidden="false" customHeight="true" outlineLevel="0" collapsed="false">
      <c r="A15" s="29" t="n">
        <f aca="false">A14+1</f>
        <v>46182</v>
      </c>
      <c r="B15" s="30" t="n">
        <f aca="false">IFERROR(WEEKNUM(A15,21),"")</f>
        <v>24</v>
      </c>
      <c r="C15" s="38"/>
      <c r="D15" s="31"/>
      <c r="E15" s="39" t="n">
        <f aca="false">IFERROR(C15/D15*1000,0)</f>
        <v>0</v>
      </c>
      <c r="F15" s="31"/>
      <c r="G15" s="39" t="n">
        <f aca="false">IFERROR(C15/F15,0)</f>
        <v>0</v>
      </c>
      <c r="H15" s="31"/>
      <c r="I15" s="31"/>
      <c r="J15" s="39" t="n">
        <f aca="false">IFERROR(C15/I15,0)</f>
        <v>0</v>
      </c>
      <c r="K15" s="40" t="n">
        <f aca="false">IFERROR(I15/H15,0)</f>
        <v>0</v>
      </c>
      <c r="L15" s="31"/>
      <c r="M15" s="31"/>
      <c r="N15" s="38"/>
      <c r="O15" s="39" t="n">
        <f aca="false">IFERROR(C15/M15,0)</f>
        <v>0</v>
      </c>
      <c r="P15" s="41" t="n">
        <f aca="false">IFERROR(N15/C15,0)</f>
        <v>0</v>
      </c>
    </row>
    <row r="16" customFormat="false" ht="15" hidden="false" customHeight="true" outlineLevel="0" collapsed="false">
      <c r="A16" s="29" t="n">
        <f aca="false">A15+1</f>
        <v>46183</v>
      </c>
      <c r="B16" s="30" t="n">
        <f aca="false">IFERROR(WEEKNUM(A16,21),"")</f>
        <v>24</v>
      </c>
      <c r="C16" s="38"/>
      <c r="D16" s="31"/>
      <c r="E16" s="39" t="n">
        <f aca="false">IFERROR(C16/D16*1000,0)</f>
        <v>0</v>
      </c>
      <c r="F16" s="31"/>
      <c r="G16" s="39" t="n">
        <f aca="false">IFERROR(C16/F16,0)</f>
        <v>0</v>
      </c>
      <c r="H16" s="31"/>
      <c r="I16" s="31"/>
      <c r="J16" s="39" t="n">
        <f aca="false">IFERROR(C16/I16,0)</f>
        <v>0</v>
      </c>
      <c r="K16" s="40" t="n">
        <f aca="false">IFERROR(I16/H16,0)</f>
        <v>0</v>
      </c>
      <c r="L16" s="31"/>
      <c r="M16" s="31"/>
      <c r="N16" s="38"/>
      <c r="O16" s="39" t="n">
        <f aca="false">IFERROR(C16/M16,0)</f>
        <v>0</v>
      </c>
      <c r="P16" s="41" t="n">
        <f aca="false">IFERROR(N16/C16,0)</f>
        <v>0</v>
      </c>
    </row>
    <row r="17" customFormat="false" ht="15" hidden="false" customHeight="true" outlineLevel="0" collapsed="false">
      <c r="A17" s="29" t="n">
        <f aca="false">A16+1</f>
        <v>46184</v>
      </c>
      <c r="B17" s="30" t="n">
        <f aca="false">IFERROR(WEEKNUM(A17,21),"")</f>
        <v>24</v>
      </c>
      <c r="C17" s="38"/>
      <c r="D17" s="31"/>
      <c r="E17" s="39" t="n">
        <f aca="false">IFERROR(C17/D17*1000,0)</f>
        <v>0</v>
      </c>
      <c r="F17" s="31"/>
      <c r="G17" s="39" t="n">
        <f aca="false">IFERROR(C17/F17,0)</f>
        <v>0</v>
      </c>
      <c r="H17" s="31"/>
      <c r="I17" s="31"/>
      <c r="J17" s="39" t="n">
        <f aca="false">IFERROR(C17/I17,0)</f>
        <v>0</v>
      </c>
      <c r="K17" s="40" t="n">
        <f aca="false">IFERROR(I17/H17,0)</f>
        <v>0</v>
      </c>
      <c r="L17" s="31"/>
      <c r="M17" s="31"/>
      <c r="N17" s="38"/>
      <c r="O17" s="39" t="n">
        <f aca="false">IFERROR(C17/M17,0)</f>
        <v>0</v>
      </c>
      <c r="P17" s="41" t="n">
        <f aca="false">IFERROR(N17/C17,0)</f>
        <v>0</v>
      </c>
    </row>
    <row r="18" customFormat="false" ht="15" hidden="false" customHeight="true" outlineLevel="0" collapsed="false">
      <c r="A18" s="29" t="n">
        <f aca="false">A17+1</f>
        <v>46185</v>
      </c>
      <c r="B18" s="30" t="n">
        <f aca="false">IFERROR(WEEKNUM(A18,21),"")</f>
        <v>24</v>
      </c>
      <c r="C18" s="38"/>
      <c r="D18" s="31"/>
      <c r="E18" s="39" t="n">
        <f aca="false">IFERROR(C18/D18*1000,0)</f>
        <v>0</v>
      </c>
      <c r="F18" s="31"/>
      <c r="G18" s="39" t="n">
        <f aca="false">IFERROR(C18/F18,0)</f>
        <v>0</v>
      </c>
      <c r="H18" s="31"/>
      <c r="I18" s="31"/>
      <c r="J18" s="39" t="n">
        <f aca="false">IFERROR(C18/I18,0)</f>
        <v>0</v>
      </c>
      <c r="K18" s="40" t="n">
        <f aca="false">IFERROR(I18/H18,0)</f>
        <v>0</v>
      </c>
      <c r="L18" s="31"/>
      <c r="M18" s="31"/>
      <c r="N18" s="38"/>
      <c r="O18" s="39" t="n">
        <f aca="false">IFERROR(C18/M18,0)</f>
        <v>0</v>
      </c>
      <c r="P18" s="41" t="n">
        <f aca="false">IFERROR(N18/C18,0)</f>
        <v>0</v>
      </c>
    </row>
    <row r="19" customFormat="false" ht="15" hidden="false" customHeight="true" outlineLevel="0" collapsed="false">
      <c r="A19" s="29" t="n">
        <f aca="false">A18+1</f>
        <v>46186</v>
      </c>
      <c r="B19" s="30" t="n">
        <f aca="false">IFERROR(WEEKNUM(A19,21),"")</f>
        <v>24</v>
      </c>
      <c r="C19" s="38"/>
      <c r="D19" s="31"/>
      <c r="E19" s="39" t="n">
        <f aca="false">IFERROR(C19/D19*1000,0)</f>
        <v>0</v>
      </c>
      <c r="F19" s="31"/>
      <c r="G19" s="39" t="n">
        <f aca="false">IFERROR(C19/F19,0)</f>
        <v>0</v>
      </c>
      <c r="H19" s="31"/>
      <c r="I19" s="31"/>
      <c r="J19" s="39" t="n">
        <f aca="false">IFERROR(C19/I19,0)</f>
        <v>0</v>
      </c>
      <c r="K19" s="40" t="n">
        <f aca="false">IFERROR(I19/H19,0)</f>
        <v>0</v>
      </c>
      <c r="L19" s="31"/>
      <c r="M19" s="31"/>
      <c r="N19" s="38"/>
      <c r="O19" s="39" t="n">
        <f aca="false">IFERROR(C19/M19,0)</f>
        <v>0</v>
      </c>
      <c r="P19" s="41" t="n">
        <f aca="false">IFERROR(N19/C19,0)</f>
        <v>0</v>
      </c>
    </row>
    <row r="20" customFormat="false" ht="15" hidden="false" customHeight="true" outlineLevel="0" collapsed="false">
      <c r="A20" s="29" t="n">
        <f aca="false">A19+1</f>
        <v>46187</v>
      </c>
      <c r="B20" s="30" t="n">
        <f aca="false">IFERROR(WEEKNUM(A20,21),"")</f>
        <v>24</v>
      </c>
      <c r="C20" s="38"/>
      <c r="D20" s="31"/>
      <c r="E20" s="39" t="n">
        <f aca="false">IFERROR(C20/D20*1000,0)</f>
        <v>0</v>
      </c>
      <c r="F20" s="31"/>
      <c r="G20" s="39" t="n">
        <f aca="false">IFERROR(C20/F20,0)</f>
        <v>0</v>
      </c>
      <c r="H20" s="31"/>
      <c r="I20" s="31"/>
      <c r="J20" s="39" t="n">
        <f aca="false">IFERROR(C20/I20,0)</f>
        <v>0</v>
      </c>
      <c r="K20" s="40" t="n">
        <f aca="false">IFERROR(I20/H20,0)</f>
        <v>0</v>
      </c>
      <c r="L20" s="31"/>
      <c r="M20" s="31"/>
      <c r="N20" s="38"/>
      <c r="O20" s="39" t="n">
        <f aca="false">IFERROR(C20/M20,0)</f>
        <v>0</v>
      </c>
      <c r="P20" s="41" t="n">
        <f aca="false">IFERROR(N20/C20,0)</f>
        <v>0</v>
      </c>
    </row>
    <row r="21" customFormat="false" ht="15" hidden="false" customHeight="true" outlineLevel="0" collapsed="false">
      <c r="A21" s="29" t="n">
        <f aca="false">A20+1</f>
        <v>46188</v>
      </c>
      <c r="B21" s="30" t="n">
        <f aca="false">IFERROR(WEEKNUM(A21,21),"")</f>
        <v>25</v>
      </c>
      <c r="C21" s="38"/>
      <c r="D21" s="31"/>
      <c r="E21" s="39" t="n">
        <f aca="false">IFERROR(C21/D21*1000,0)</f>
        <v>0</v>
      </c>
      <c r="F21" s="31"/>
      <c r="G21" s="39" t="n">
        <f aca="false">IFERROR(C21/F21,0)</f>
        <v>0</v>
      </c>
      <c r="H21" s="31"/>
      <c r="I21" s="31"/>
      <c r="J21" s="39" t="n">
        <f aca="false">IFERROR(C21/I21,0)</f>
        <v>0</v>
      </c>
      <c r="K21" s="40" t="n">
        <f aca="false">IFERROR(I21/H21,0)</f>
        <v>0</v>
      </c>
      <c r="L21" s="31"/>
      <c r="M21" s="31"/>
      <c r="N21" s="38"/>
      <c r="O21" s="39" t="n">
        <f aca="false">IFERROR(C21/M21,0)</f>
        <v>0</v>
      </c>
      <c r="P21" s="41" t="n">
        <f aca="false">IFERROR(N21/C21,0)</f>
        <v>0</v>
      </c>
    </row>
    <row r="22" customFormat="false" ht="15" hidden="false" customHeight="true" outlineLevel="0" collapsed="false">
      <c r="A22" s="29" t="n">
        <f aca="false">A21+1</f>
        <v>46189</v>
      </c>
      <c r="B22" s="30" t="n">
        <f aca="false">IFERROR(WEEKNUM(A22,21),"")</f>
        <v>25</v>
      </c>
      <c r="C22" s="38"/>
      <c r="D22" s="31"/>
      <c r="E22" s="39" t="n">
        <f aca="false">IFERROR(C22/D22*1000,0)</f>
        <v>0</v>
      </c>
      <c r="F22" s="31"/>
      <c r="G22" s="39" t="n">
        <f aca="false">IFERROR(C22/F22,0)</f>
        <v>0</v>
      </c>
      <c r="H22" s="31"/>
      <c r="I22" s="31"/>
      <c r="J22" s="39" t="n">
        <f aca="false">IFERROR(C22/I22,0)</f>
        <v>0</v>
      </c>
      <c r="K22" s="40" t="n">
        <f aca="false">IFERROR(I22/H22,0)</f>
        <v>0</v>
      </c>
      <c r="L22" s="31"/>
      <c r="M22" s="31"/>
      <c r="N22" s="38"/>
      <c r="O22" s="39" t="n">
        <f aca="false">IFERROR(C22/M22,0)</f>
        <v>0</v>
      </c>
      <c r="P22" s="41" t="n">
        <f aca="false">IFERROR(N22/C22,0)</f>
        <v>0</v>
      </c>
    </row>
    <row r="23" customFormat="false" ht="15" hidden="false" customHeight="true" outlineLevel="0" collapsed="false">
      <c r="A23" s="29" t="n">
        <f aca="false">A22+1</f>
        <v>46190</v>
      </c>
      <c r="B23" s="30" t="n">
        <f aca="false">IFERROR(WEEKNUM(A23,21),"")</f>
        <v>25</v>
      </c>
      <c r="C23" s="38"/>
      <c r="D23" s="31"/>
      <c r="E23" s="39" t="n">
        <f aca="false">IFERROR(C23/D23*1000,0)</f>
        <v>0</v>
      </c>
      <c r="F23" s="31"/>
      <c r="G23" s="39" t="n">
        <f aca="false">IFERROR(C23/F23,0)</f>
        <v>0</v>
      </c>
      <c r="H23" s="31"/>
      <c r="I23" s="31"/>
      <c r="J23" s="39" t="n">
        <f aca="false">IFERROR(C23/I23,0)</f>
        <v>0</v>
      </c>
      <c r="K23" s="40" t="n">
        <f aca="false">IFERROR(I23/H23,0)</f>
        <v>0</v>
      </c>
      <c r="L23" s="31"/>
      <c r="M23" s="31"/>
      <c r="N23" s="38"/>
      <c r="O23" s="39" t="n">
        <f aca="false">IFERROR(C23/M23,0)</f>
        <v>0</v>
      </c>
      <c r="P23" s="41" t="n">
        <f aca="false">IFERROR(N23/C23,0)</f>
        <v>0</v>
      </c>
    </row>
    <row r="24" customFormat="false" ht="15" hidden="false" customHeight="true" outlineLevel="0" collapsed="false">
      <c r="A24" s="29" t="n">
        <f aca="false">A23+1</f>
        <v>46191</v>
      </c>
      <c r="B24" s="30" t="n">
        <f aca="false">IFERROR(WEEKNUM(A24,21),"")</f>
        <v>25</v>
      </c>
      <c r="C24" s="38"/>
      <c r="D24" s="31"/>
      <c r="E24" s="39" t="n">
        <f aca="false">IFERROR(C24/D24*1000,0)</f>
        <v>0</v>
      </c>
      <c r="F24" s="31"/>
      <c r="G24" s="39" t="n">
        <f aca="false">IFERROR(C24/F24,0)</f>
        <v>0</v>
      </c>
      <c r="H24" s="31"/>
      <c r="I24" s="31"/>
      <c r="J24" s="39" t="n">
        <f aca="false">IFERROR(C24/I24,0)</f>
        <v>0</v>
      </c>
      <c r="K24" s="40" t="n">
        <f aca="false">IFERROR(I24/H24,0)</f>
        <v>0</v>
      </c>
      <c r="L24" s="31"/>
      <c r="M24" s="31"/>
      <c r="N24" s="38"/>
      <c r="O24" s="39" t="n">
        <f aca="false">IFERROR(C24/M24,0)</f>
        <v>0</v>
      </c>
      <c r="P24" s="41" t="n">
        <f aca="false">IFERROR(N24/C24,0)</f>
        <v>0</v>
      </c>
    </row>
    <row r="25" customFormat="false" ht="15" hidden="false" customHeight="true" outlineLevel="0" collapsed="false">
      <c r="A25" s="29" t="n">
        <f aca="false">A24+1</f>
        <v>46192</v>
      </c>
      <c r="B25" s="30" t="n">
        <f aca="false">IFERROR(WEEKNUM(A25,21),"")</f>
        <v>25</v>
      </c>
      <c r="C25" s="38"/>
      <c r="D25" s="31"/>
      <c r="E25" s="39" t="n">
        <f aca="false">IFERROR(C25/D25*1000,0)</f>
        <v>0</v>
      </c>
      <c r="F25" s="31"/>
      <c r="G25" s="39" t="n">
        <f aca="false">IFERROR(C25/F25,0)</f>
        <v>0</v>
      </c>
      <c r="H25" s="31"/>
      <c r="I25" s="31"/>
      <c r="J25" s="39" t="n">
        <f aca="false">IFERROR(C25/I25,0)</f>
        <v>0</v>
      </c>
      <c r="K25" s="40" t="n">
        <f aca="false">IFERROR(I25/H25,0)</f>
        <v>0</v>
      </c>
      <c r="L25" s="31"/>
      <c r="M25" s="31"/>
      <c r="N25" s="38"/>
      <c r="O25" s="39" t="n">
        <f aca="false">IFERROR(C25/M25,0)</f>
        <v>0</v>
      </c>
      <c r="P25" s="41" t="n">
        <f aca="false">IFERROR(N25/C25,0)</f>
        <v>0</v>
      </c>
    </row>
    <row r="26" customFormat="false" ht="15" hidden="false" customHeight="true" outlineLevel="0" collapsed="false">
      <c r="A26" s="29" t="n">
        <f aca="false">A25+1</f>
        <v>46193</v>
      </c>
      <c r="B26" s="30" t="n">
        <f aca="false">IFERROR(WEEKNUM(A26,21),"")</f>
        <v>25</v>
      </c>
      <c r="C26" s="38"/>
      <c r="D26" s="31"/>
      <c r="E26" s="39" t="n">
        <f aca="false">IFERROR(C26/D26*1000,0)</f>
        <v>0</v>
      </c>
      <c r="F26" s="31"/>
      <c r="G26" s="39" t="n">
        <f aca="false">IFERROR(C26/F26,0)</f>
        <v>0</v>
      </c>
      <c r="H26" s="31"/>
      <c r="I26" s="31"/>
      <c r="J26" s="39" t="n">
        <f aca="false">IFERROR(C26/I26,0)</f>
        <v>0</v>
      </c>
      <c r="K26" s="40" t="n">
        <f aca="false">IFERROR(I26/H26,0)</f>
        <v>0</v>
      </c>
      <c r="L26" s="31"/>
      <c r="M26" s="31"/>
      <c r="N26" s="38"/>
      <c r="O26" s="39" t="n">
        <f aca="false">IFERROR(C26/M26,0)</f>
        <v>0</v>
      </c>
      <c r="P26" s="41" t="n">
        <f aca="false">IFERROR(N26/C26,0)</f>
        <v>0</v>
      </c>
    </row>
    <row r="27" customFormat="false" ht="15" hidden="false" customHeight="true" outlineLevel="0" collapsed="false">
      <c r="A27" s="29" t="n">
        <f aca="false">A26+1</f>
        <v>46194</v>
      </c>
      <c r="B27" s="30" t="n">
        <f aca="false">IFERROR(WEEKNUM(A27,21),"")</f>
        <v>25</v>
      </c>
      <c r="C27" s="38"/>
      <c r="D27" s="31"/>
      <c r="E27" s="39" t="n">
        <f aca="false">IFERROR(C27/D27*1000,0)</f>
        <v>0</v>
      </c>
      <c r="F27" s="31"/>
      <c r="G27" s="39" t="n">
        <f aca="false">IFERROR(C27/F27,0)</f>
        <v>0</v>
      </c>
      <c r="H27" s="31"/>
      <c r="I27" s="31"/>
      <c r="J27" s="39" t="n">
        <f aca="false">IFERROR(C27/I27,0)</f>
        <v>0</v>
      </c>
      <c r="K27" s="40" t="n">
        <f aca="false">IFERROR(I27/H27,0)</f>
        <v>0</v>
      </c>
      <c r="L27" s="31"/>
      <c r="M27" s="31"/>
      <c r="N27" s="38"/>
      <c r="O27" s="39" t="n">
        <f aca="false">IFERROR(C27/M27,0)</f>
        <v>0</v>
      </c>
      <c r="P27" s="41" t="n">
        <f aca="false">IFERROR(N27/C27,0)</f>
        <v>0</v>
      </c>
    </row>
    <row r="28" customFormat="false" ht="15" hidden="false" customHeight="true" outlineLevel="0" collapsed="false">
      <c r="A28" s="29" t="n">
        <f aca="false">A27+1</f>
        <v>46195</v>
      </c>
      <c r="B28" s="30" t="n">
        <f aca="false">IFERROR(WEEKNUM(A28,21),"")</f>
        <v>26</v>
      </c>
      <c r="C28" s="38"/>
      <c r="D28" s="31"/>
      <c r="E28" s="39" t="n">
        <f aca="false">IFERROR(C28/D28*1000,0)</f>
        <v>0</v>
      </c>
      <c r="F28" s="31"/>
      <c r="G28" s="39" t="n">
        <f aca="false">IFERROR(C28/F28,0)</f>
        <v>0</v>
      </c>
      <c r="H28" s="31"/>
      <c r="I28" s="31"/>
      <c r="J28" s="39" t="n">
        <f aca="false">IFERROR(C28/I28,0)</f>
        <v>0</v>
      </c>
      <c r="K28" s="40" t="n">
        <f aca="false">IFERROR(I28/H28,0)</f>
        <v>0</v>
      </c>
      <c r="L28" s="31"/>
      <c r="M28" s="31"/>
      <c r="N28" s="38"/>
      <c r="O28" s="39" t="n">
        <f aca="false">IFERROR(C28/M28,0)</f>
        <v>0</v>
      </c>
      <c r="P28" s="41" t="n">
        <f aca="false">IFERROR(N28/C28,0)</f>
        <v>0</v>
      </c>
    </row>
    <row r="29" customFormat="false" ht="15" hidden="false" customHeight="true" outlineLevel="0" collapsed="false">
      <c r="A29" s="29" t="n">
        <f aca="false">A28+1</f>
        <v>46196</v>
      </c>
      <c r="B29" s="30" t="n">
        <f aca="false">IFERROR(WEEKNUM(A29,21),"")</f>
        <v>26</v>
      </c>
      <c r="C29" s="38"/>
      <c r="D29" s="31"/>
      <c r="E29" s="39" t="n">
        <f aca="false">IFERROR(C29/D29*1000,0)</f>
        <v>0</v>
      </c>
      <c r="F29" s="31"/>
      <c r="G29" s="39" t="n">
        <f aca="false">IFERROR(C29/F29,0)</f>
        <v>0</v>
      </c>
      <c r="H29" s="31"/>
      <c r="I29" s="31"/>
      <c r="J29" s="39" t="n">
        <f aca="false">IFERROR(C29/I29,0)</f>
        <v>0</v>
      </c>
      <c r="K29" s="40" t="n">
        <f aca="false">IFERROR(I29/H29,0)</f>
        <v>0</v>
      </c>
      <c r="L29" s="31"/>
      <c r="M29" s="31"/>
      <c r="N29" s="38"/>
      <c r="O29" s="39" t="n">
        <f aca="false">IFERROR(C29/M29,0)</f>
        <v>0</v>
      </c>
      <c r="P29" s="41" t="n">
        <f aca="false">IFERROR(N29/C29,0)</f>
        <v>0</v>
      </c>
    </row>
    <row r="30" customFormat="false" ht="15" hidden="false" customHeight="true" outlineLevel="0" collapsed="false">
      <c r="A30" s="29" t="n">
        <f aca="false">A29+1</f>
        <v>46197</v>
      </c>
      <c r="B30" s="30" t="n">
        <f aca="false">IFERROR(WEEKNUM(A30,21),"")</f>
        <v>26</v>
      </c>
      <c r="C30" s="38"/>
      <c r="D30" s="31"/>
      <c r="E30" s="39" t="n">
        <f aca="false">IFERROR(C30/D30*1000,0)</f>
        <v>0</v>
      </c>
      <c r="F30" s="31"/>
      <c r="G30" s="39" t="n">
        <f aca="false">IFERROR(C30/F30,0)</f>
        <v>0</v>
      </c>
      <c r="H30" s="31"/>
      <c r="I30" s="31"/>
      <c r="J30" s="39" t="n">
        <f aca="false">IFERROR(C30/I30,0)</f>
        <v>0</v>
      </c>
      <c r="K30" s="40" t="n">
        <f aca="false">IFERROR(I30/H30,0)</f>
        <v>0</v>
      </c>
      <c r="L30" s="31"/>
      <c r="M30" s="31"/>
      <c r="N30" s="38"/>
      <c r="O30" s="39" t="n">
        <f aca="false">IFERROR(C30/M30,0)</f>
        <v>0</v>
      </c>
      <c r="P30" s="41" t="n">
        <f aca="false">IFERROR(N30/C30,0)</f>
        <v>0</v>
      </c>
    </row>
    <row r="31" customFormat="false" ht="15" hidden="false" customHeight="true" outlineLevel="0" collapsed="false">
      <c r="A31" s="29" t="n">
        <f aca="false">A30+1</f>
        <v>46198</v>
      </c>
      <c r="B31" s="30" t="n">
        <f aca="false">IFERROR(WEEKNUM(A31,21),"")</f>
        <v>26</v>
      </c>
      <c r="C31" s="38"/>
      <c r="D31" s="31"/>
      <c r="E31" s="39" t="n">
        <f aca="false">IFERROR(C31/D31*1000,0)</f>
        <v>0</v>
      </c>
      <c r="F31" s="31"/>
      <c r="G31" s="39" t="n">
        <f aca="false">IFERROR(C31/F31,0)</f>
        <v>0</v>
      </c>
      <c r="H31" s="31"/>
      <c r="I31" s="31"/>
      <c r="J31" s="39" t="n">
        <f aca="false">IFERROR(C31/I31,0)</f>
        <v>0</v>
      </c>
      <c r="K31" s="40" t="n">
        <f aca="false">IFERROR(I31/H31,0)</f>
        <v>0</v>
      </c>
      <c r="L31" s="31"/>
      <c r="M31" s="31"/>
      <c r="N31" s="38"/>
      <c r="O31" s="39" t="n">
        <f aca="false">IFERROR(C31/M31,0)</f>
        <v>0</v>
      </c>
      <c r="P31" s="41" t="n">
        <f aca="false">IFERROR(N31/C31,0)</f>
        <v>0</v>
      </c>
    </row>
    <row r="32" customFormat="false" ht="15" hidden="false" customHeight="true" outlineLevel="0" collapsed="false">
      <c r="A32" s="29" t="n">
        <f aca="false">A31+1</f>
        <v>46199</v>
      </c>
      <c r="B32" s="30" t="n">
        <f aca="false">IFERROR(WEEKNUM(A32,21),"")</f>
        <v>26</v>
      </c>
      <c r="C32" s="38"/>
      <c r="D32" s="31"/>
      <c r="E32" s="39" t="n">
        <f aca="false">IFERROR(C32/D32*1000,0)</f>
        <v>0</v>
      </c>
      <c r="F32" s="31"/>
      <c r="G32" s="39" t="n">
        <f aca="false">IFERROR(C32/F32,0)</f>
        <v>0</v>
      </c>
      <c r="H32" s="31"/>
      <c r="I32" s="31"/>
      <c r="J32" s="39" t="n">
        <f aca="false">IFERROR(C32/I32,0)</f>
        <v>0</v>
      </c>
      <c r="K32" s="40" t="n">
        <f aca="false">IFERROR(I32/H32,0)</f>
        <v>0</v>
      </c>
      <c r="L32" s="31"/>
      <c r="M32" s="31"/>
      <c r="N32" s="38"/>
      <c r="O32" s="39" t="n">
        <f aca="false">IFERROR(C32/M32,0)</f>
        <v>0</v>
      </c>
      <c r="P32" s="41" t="n">
        <f aca="false">IFERROR(N32/C32,0)</f>
        <v>0</v>
      </c>
    </row>
    <row r="33" customFormat="false" ht="15" hidden="false" customHeight="true" outlineLevel="0" collapsed="false">
      <c r="A33" s="29" t="n">
        <f aca="false">A32+1</f>
        <v>46200</v>
      </c>
      <c r="B33" s="30" t="n">
        <f aca="false">IFERROR(WEEKNUM(A33,21),"")</f>
        <v>26</v>
      </c>
      <c r="C33" s="38"/>
      <c r="D33" s="31"/>
      <c r="E33" s="39" t="n">
        <f aca="false">IFERROR(C33/D33*1000,0)</f>
        <v>0</v>
      </c>
      <c r="F33" s="31"/>
      <c r="G33" s="39" t="n">
        <f aca="false">IFERROR(C33/F33,0)</f>
        <v>0</v>
      </c>
      <c r="H33" s="31"/>
      <c r="I33" s="31"/>
      <c r="J33" s="39" t="n">
        <f aca="false">IFERROR(C33/I33,0)</f>
        <v>0</v>
      </c>
      <c r="K33" s="40" t="n">
        <f aca="false">IFERROR(I33/H33,0)</f>
        <v>0</v>
      </c>
      <c r="L33" s="31"/>
      <c r="M33" s="31"/>
      <c r="N33" s="38"/>
      <c r="O33" s="39" t="n">
        <f aca="false">IFERROR(C33/M33,0)</f>
        <v>0</v>
      </c>
      <c r="P33" s="41" t="n">
        <f aca="false">IFERROR(N33/C33,0)</f>
        <v>0</v>
      </c>
    </row>
    <row r="34" customFormat="false" ht="15" hidden="false" customHeight="true" outlineLevel="0" collapsed="false">
      <c r="A34" s="29" t="n">
        <f aca="false">A33+1</f>
        <v>46201</v>
      </c>
      <c r="B34" s="30" t="n">
        <f aca="false">IFERROR(WEEKNUM(A34,21),"")</f>
        <v>26</v>
      </c>
      <c r="C34" s="38"/>
      <c r="D34" s="31"/>
      <c r="E34" s="39" t="n">
        <f aca="false">IFERROR(C34/D34*1000,0)</f>
        <v>0</v>
      </c>
      <c r="F34" s="31"/>
      <c r="G34" s="39" t="n">
        <f aca="false">IFERROR(C34/F34,0)</f>
        <v>0</v>
      </c>
      <c r="H34" s="31"/>
      <c r="I34" s="31"/>
      <c r="J34" s="39" t="n">
        <f aca="false">IFERROR(C34/I34,0)</f>
        <v>0</v>
      </c>
      <c r="K34" s="40" t="n">
        <f aca="false">IFERROR(I34/H34,0)</f>
        <v>0</v>
      </c>
      <c r="L34" s="31"/>
      <c r="M34" s="31"/>
      <c r="N34" s="38"/>
      <c r="O34" s="39" t="n">
        <f aca="false">IFERROR(C34/M34,0)</f>
        <v>0</v>
      </c>
      <c r="P34" s="41" t="n">
        <f aca="false">IFERROR(N34/C34,0)</f>
        <v>0</v>
      </c>
    </row>
    <row r="35" customFormat="false" ht="15" hidden="false" customHeight="true" outlineLevel="0" collapsed="false">
      <c r="A35" s="29" t="n">
        <f aca="false">A34+1</f>
        <v>46202</v>
      </c>
      <c r="B35" s="30" t="n">
        <f aca="false">IFERROR(WEEKNUM(A35,21),"")</f>
        <v>27</v>
      </c>
      <c r="C35" s="38"/>
      <c r="D35" s="31"/>
      <c r="E35" s="39" t="n">
        <f aca="false">IFERROR(C35/D35*1000,0)</f>
        <v>0</v>
      </c>
      <c r="F35" s="31"/>
      <c r="G35" s="39" t="n">
        <f aca="false">IFERROR(C35/F35,0)</f>
        <v>0</v>
      </c>
      <c r="H35" s="31"/>
      <c r="I35" s="31"/>
      <c r="J35" s="39" t="n">
        <f aca="false">IFERROR(C35/I35,0)</f>
        <v>0</v>
      </c>
      <c r="K35" s="40" t="n">
        <f aca="false">IFERROR(I35/H35,0)</f>
        <v>0</v>
      </c>
      <c r="L35" s="31"/>
      <c r="M35" s="31"/>
      <c r="N35" s="38"/>
      <c r="O35" s="39" t="n">
        <f aca="false">IFERROR(C35/M35,0)</f>
        <v>0</v>
      </c>
      <c r="P35" s="41" t="n">
        <f aca="false">IFERROR(N35/C35,0)</f>
        <v>0</v>
      </c>
    </row>
    <row r="36" customFormat="false" ht="15" hidden="false" customHeight="true" outlineLevel="0" collapsed="false">
      <c r="A36" s="29" t="n">
        <f aca="false">A35+1</f>
        <v>46203</v>
      </c>
      <c r="B36" s="30" t="n">
        <f aca="false">IFERROR(WEEKNUM(A36,21),"")</f>
        <v>27</v>
      </c>
      <c r="C36" s="38"/>
      <c r="D36" s="31"/>
      <c r="E36" s="39" t="n">
        <f aca="false">IFERROR(C36/D36*1000,0)</f>
        <v>0</v>
      </c>
      <c r="F36" s="31"/>
      <c r="G36" s="39" t="n">
        <f aca="false">IFERROR(C36/F36,0)</f>
        <v>0</v>
      </c>
      <c r="H36" s="31"/>
      <c r="I36" s="31"/>
      <c r="J36" s="39" t="n">
        <f aca="false">IFERROR(C36/I36,0)</f>
        <v>0</v>
      </c>
      <c r="K36" s="40" t="n">
        <f aca="false">IFERROR(I36/H36,0)</f>
        <v>0</v>
      </c>
      <c r="L36" s="31"/>
      <c r="M36" s="31"/>
      <c r="N36" s="38"/>
      <c r="O36" s="39" t="n">
        <f aca="false">IFERROR(C36/M36,0)</f>
        <v>0</v>
      </c>
      <c r="P36" s="41" t="n">
        <f aca="false">IFERROR(N36/C36,0)</f>
        <v>0</v>
      </c>
    </row>
    <row r="37" customFormat="false" ht="15" hidden="false" customHeight="true" outlineLevel="0" collapsed="false">
      <c r="A37" s="29" t="n">
        <f aca="false">A36+1</f>
        <v>46204</v>
      </c>
      <c r="B37" s="30" t="n">
        <f aca="false">IFERROR(WEEKNUM(A37,21),"")</f>
        <v>27</v>
      </c>
      <c r="C37" s="38"/>
      <c r="D37" s="31"/>
      <c r="E37" s="39" t="n">
        <f aca="false">IFERROR(C37/D37*1000,0)</f>
        <v>0</v>
      </c>
      <c r="F37" s="31"/>
      <c r="G37" s="39" t="n">
        <f aca="false">IFERROR(C37/F37,0)</f>
        <v>0</v>
      </c>
      <c r="H37" s="31"/>
      <c r="I37" s="31"/>
      <c r="J37" s="39" t="n">
        <f aca="false">IFERROR(C37/I37,0)</f>
        <v>0</v>
      </c>
      <c r="K37" s="40" t="n">
        <f aca="false">IFERROR(I37/H37,0)</f>
        <v>0</v>
      </c>
      <c r="L37" s="31"/>
      <c r="M37" s="31"/>
      <c r="N37" s="38"/>
      <c r="O37" s="39" t="n">
        <f aca="false">IFERROR(C37/M37,0)</f>
        <v>0</v>
      </c>
      <c r="P37" s="41" t="n">
        <f aca="false">IFERROR(N37/C37,0)</f>
        <v>0</v>
      </c>
    </row>
    <row r="39" customFormat="false" ht="27.75" hidden="false" customHeight="true" outlineLevel="0" collapsed="false">
      <c r="A39" s="33" t="s">
        <v>43</v>
      </c>
      <c r="B39" s="33"/>
      <c r="C39" s="33"/>
      <c r="D39" s="33"/>
      <c r="E39" s="33"/>
      <c r="F39" s="33"/>
      <c r="G39" s="33"/>
      <c r="H39" s="33"/>
    </row>
    <row r="40" customFormat="false" ht="15" hidden="false" customHeight="true" outlineLevel="0" collapsed="false">
      <c r="A40" s="34" t="s">
        <v>44</v>
      </c>
      <c r="B40" s="34"/>
      <c r="C40" s="34"/>
      <c r="D40" s="34"/>
      <c r="E40" s="34"/>
      <c r="F40" s="34"/>
      <c r="G40" s="34"/>
      <c r="H40" s="34"/>
    </row>
  </sheetData>
  <mergeCells count="5">
    <mergeCell ref="A1:P1"/>
    <mergeCell ref="A2:P2"/>
    <mergeCell ref="C3:P3"/>
    <mergeCell ref="A39:H39"/>
    <mergeCell ref="A40:H40"/>
  </mergeCells>
  <hyperlinks>
    <hyperlink ref="A39" r:id="rId1" display="Zu viele Zahlen? Genau dafür ist das Strategiegespräch — wir werten es mit dir aus und bauen den automatisierten Funnel.  📅 Jetzt buchen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6"/>
    <col collapsed="false" customWidth="true" hidden="false" outlineLevel="0" max="4" min="3" style="1" width="11"/>
    <col collapsed="false" customWidth="true" hidden="false" outlineLevel="0" max="7" min="5" style="1" width="9"/>
    <col collapsed="false" customWidth="true" hidden="false" outlineLevel="0" max="8" min="8" style="1" width="10"/>
    <col collapsed="false" customWidth="true" hidden="false" outlineLevel="0" max="9" min="9" style="1" width="8"/>
    <col collapsed="false" customWidth="true" hidden="false" outlineLevel="0" max="11" min="10" style="1" width="9"/>
    <col collapsed="false" customWidth="true" hidden="false" outlineLevel="0" max="12" min="12" style="1" width="11"/>
    <col collapsed="false" customWidth="true" hidden="false" outlineLevel="0" max="15" min="13" style="1" width="9"/>
    <col collapsed="false" customWidth="true" hidden="false" outlineLevel="0" max="17" min="16" style="1" width="11"/>
    <col collapsed="false" customWidth="true" hidden="false" outlineLevel="0" max="18" min="18" style="1" width="8"/>
  </cols>
  <sheetData>
    <row r="1" customFormat="false" ht="30" hidden="false" customHeight="true" outlineLevel="0" collapsed="false">
      <c r="A1" s="19" t="s">
        <v>61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15" hidden="false" customHeight="true" outlineLevel="0" collapsed="false">
      <c r="A2" s="20" t="s">
        <v>62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</row>
    <row r="3" customFormat="false" ht="26.25" hidden="false" customHeight="true" outlineLevel="0" collapsed="false">
      <c r="A3" s="21" t="s">
        <v>32</v>
      </c>
      <c r="B3" s="22" t="n">
        <v>46174</v>
      </c>
      <c r="C3" s="23" t="s">
        <v>33</v>
      </c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</row>
    <row r="5" customFormat="false" ht="15" hidden="false" customHeight="true" outlineLevel="0" collapsed="false">
      <c r="A5" s="24" t="s">
        <v>34</v>
      </c>
      <c r="B5" s="25"/>
      <c r="C5" s="35" t="n">
        <f aca="false">SUM(C7:C37)</f>
        <v>403</v>
      </c>
      <c r="D5" s="26" t="n">
        <f aca="false">SUM(D7:D37)</f>
        <v>34900</v>
      </c>
      <c r="E5" s="35" t="n">
        <f aca="false">IFERROR(C5/D5*1000,0)</f>
        <v>11.5472779369628</v>
      </c>
      <c r="F5" s="26" t="n">
        <f aca="false">SUM(F7:F37)</f>
        <v>477</v>
      </c>
      <c r="G5" s="35" t="n">
        <f aca="false">IFERROR(C5/F5,0)</f>
        <v>0.844863731656184</v>
      </c>
      <c r="H5" s="26" t="n">
        <f aca="false">SUM(H7:H37)</f>
        <v>197</v>
      </c>
      <c r="I5" s="26" t="n">
        <f aca="false">SUM(I7:I37)</f>
        <v>38</v>
      </c>
      <c r="J5" s="35" t="n">
        <f aca="false">IFERROR(C5/I5,0)</f>
        <v>10.6052631578947</v>
      </c>
      <c r="K5" s="26" t="n">
        <f aca="false">SUM(K7:K37)</f>
        <v>26</v>
      </c>
      <c r="L5" s="26" t="n">
        <f aca="false">SUM(L7:L37)</f>
        <v>12</v>
      </c>
      <c r="M5" s="36" t="n">
        <f aca="false">IFERROR(L5/K5,0)</f>
        <v>0.461538461538462</v>
      </c>
      <c r="N5" s="26" t="n">
        <f aca="false">SUM(N7:N37)</f>
        <v>3</v>
      </c>
      <c r="O5" s="36" t="n">
        <f aca="false">IFERROR(N5/L5,0)</f>
        <v>0.25</v>
      </c>
      <c r="P5" s="35" t="n">
        <f aca="false">IFERROR(C5/N5,0)</f>
        <v>134.333333333333</v>
      </c>
      <c r="Q5" s="42" t="n">
        <f aca="false">SUM(Q7:Q37)</f>
        <v>7500</v>
      </c>
      <c r="R5" s="37" t="n">
        <f aca="false">IFERROR(Q5/C5,0)</f>
        <v>18.6104218362283</v>
      </c>
    </row>
    <row r="6" customFormat="false" ht="30" hidden="false" customHeight="true" outlineLevel="0" collapsed="false">
      <c r="A6" s="28" t="s">
        <v>35</v>
      </c>
      <c r="B6" s="28" t="s">
        <v>36</v>
      </c>
      <c r="C6" s="28" t="s">
        <v>47</v>
      </c>
      <c r="D6" s="28" t="s">
        <v>48</v>
      </c>
      <c r="E6" s="28" t="s">
        <v>49</v>
      </c>
      <c r="F6" s="28" t="s">
        <v>50</v>
      </c>
      <c r="G6" s="28" t="s">
        <v>51</v>
      </c>
      <c r="H6" s="28" t="s">
        <v>63</v>
      </c>
      <c r="I6" s="28" t="s">
        <v>64</v>
      </c>
      <c r="J6" s="28" t="s">
        <v>54</v>
      </c>
      <c r="K6" s="28" t="s">
        <v>65</v>
      </c>
      <c r="L6" s="28" t="s">
        <v>66</v>
      </c>
      <c r="M6" s="28" t="s">
        <v>67</v>
      </c>
      <c r="N6" s="28" t="s">
        <v>68</v>
      </c>
      <c r="O6" s="28" t="s">
        <v>69</v>
      </c>
      <c r="P6" s="28" t="s">
        <v>70</v>
      </c>
      <c r="Q6" s="28" t="s">
        <v>58</v>
      </c>
      <c r="R6" s="28" t="s">
        <v>60</v>
      </c>
    </row>
    <row r="7" customFormat="false" ht="15" hidden="false" customHeight="true" outlineLevel="0" collapsed="false">
      <c r="A7" s="29" t="n">
        <f aca="false">$B$3</f>
        <v>46174</v>
      </c>
      <c r="B7" s="30" t="n">
        <f aca="false">IFERROR(WEEKNUM(A7,21),"")</f>
        <v>23</v>
      </c>
      <c r="C7" s="38" t="n">
        <v>60</v>
      </c>
      <c r="D7" s="31" t="n">
        <v>5200</v>
      </c>
      <c r="E7" s="39" t="n">
        <f aca="false">IFERROR(C7/D7*1000,0)</f>
        <v>11.5384615384615</v>
      </c>
      <c r="F7" s="31" t="n">
        <v>72</v>
      </c>
      <c r="G7" s="39" t="n">
        <f aca="false">IFERROR(C7/F7,0)</f>
        <v>0.833333333333333</v>
      </c>
      <c r="H7" s="31" t="n">
        <v>30</v>
      </c>
      <c r="I7" s="31" t="n">
        <v>6</v>
      </c>
      <c r="J7" s="39" t="n">
        <f aca="false">IFERROR(C7/I7,0)</f>
        <v>10</v>
      </c>
      <c r="K7" s="31" t="n">
        <v>4</v>
      </c>
      <c r="L7" s="31" t="n">
        <v>2</v>
      </c>
      <c r="M7" s="40" t="n">
        <f aca="false">IFERROR(L7/K7,0)</f>
        <v>0.5</v>
      </c>
      <c r="N7" s="31" t="n">
        <v>1</v>
      </c>
      <c r="O7" s="40" t="n">
        <f aca="false">IFERROR(N7/L7,0)</f>
        <v>0.5</v>
      </c>
      <c r="P7" s="39" t="n">
        <f aca="false">IFERROR(C7/N7,0)</f>
        <v>60</v>
      </c>
      <c r="Q7" s="43" t="n">
        <v>2500</v>
      </c>
      <c r="R7" s="41" t="n">
        <f aca="false">IFERROR(Q7/C7,0)</f>
        <v>41.6666666666667</v>
      </c>
    </row>
    <row r="8" customFormat="false" ht="15" hidden="false" customHeight="true" outlineLevel="0" collapsed="false">
      <c r="A8" s="29" t="n">
        <f aca="false">A7+1</f>
        <v>46175</v>
      </c>
      <c r="B8" s="30" t="n">
        <f aca="false">IFERROR(WEEKNUM(A8,21),"")</f>
        <v>23</v>
      </c>
      <c r="C8" s="38" t="n">
        <v>55</v>
      </c>
      <c r="D8" s="31" t="n">
        <v>4800</v>
      </c>
      <c r="E8" s="39" t="n">
        <f aca="false">IFERROR(C8/D8*1000,0)</f>
        <v>11.4583333333333</v>
      </c>
      <c r="F8" s="31" t="n">
        <v>64</v>
      </c>
      <c r="G8" s="39" t="n">
        <f aca="false">IFERROR(C8/F8,0)</f>
        <v>0.859375</v>
      </c>
      <c r="H8" s="31" t="n">
        <v>26</v>
      </c>
      <c r="I8" s="31" t="n">
        <v>5</v>
      </c>
      <c r="J8" s="39" t="n">
        <f aca="false">IFERROR(C8/I8,0)</f>
        <v>11</v>
      </c>
      <c r="K8" s="31" t="n">
        <v>3</v>
      </c>
      <c r="L8" s="31" t="n">
        <v>1</v>
      </c>
      <c r="M8" s="40" t="n">
        <f aca="false">IFERROR(L8/K8,0)</f>
        <v>0.333333333333333</v>
      </c>
      <c r="N8" s="31" t="n">
        <v>0</v>
      </c>
      <c r="O8" s="40" t="n">
        <f aca="false">IFERROR(N8/L8,0)</f>
        <v>0</v>
      </c>
      <c r="P8" s="39" t="n">
        <f aca="false">IFERROR(C8/N8,0)</f>
        <v>0</v>
      </c>
      <c r="Q8" s="43" t="n">
        <v>0</v>
      </c>
      <c r="R8" s="41" t="n">
        <f aca="false">IFERROR(Q8/C8,0)</f>
        <v>0</v>
      </c>
    </row>
    <row r="9" customFormat="false" ht="15" hidden="false" customHeight="true" outlineLevel="0" collapsed="false">
      <c r="A9" s="29" t="n">
        <f aca="false">A8+1</f>
        <v>46176</v>
      </c>
      <c r="B9" s="30" t="n">
        <f aca="false">IFERROR(WEEKNUM(A9,21),"")</f>
        <v>23</v>
      </c>
      <c r="C9" s="38" t="n">
        <v>70</v>
      </c>
      <c r="D9" s="31" t="n">
        <v>6100</v>
      </c>
      <c r="E9" s="39" t="n">
        <f aca="false">IFERROR(C9/D9*1000,0)</f>
        <v>11.4754098360656</v>
      </c>
      <c r="F9" s="31" t="n">
        <v>85</v>
      </c>
      <c r="G9" s="39" t="n">
        <f aca="false">IFERROR(C9/F9,0)</f>
        <v>0.823529411764706</v>
      </c>
      <c r="H9" s="31" t="n">
        <v>38</v>
      </c>
      <c r="I9" s="31" t="n">
        <v>8</v>
      </c>
      <c r="J9" s="39" t="n">
        <f aca="false">IFERROR(C9/I9,0)</f>
        <v>8.75</v>
      </c>
      <c r="K9" s="31" t="n">
        <v>5</v>
      </c>
      <c r="L9" s="31" t="n">
        <v>3</v>
      </c>
      <c r="M9" s="40" t="n">
        <f aca="false">IFERROR(L9/K9,0)</f>
        <v>0.6</v>
      </c>
      <c r="N9" s="31" t="n">
        <v>1</v>
      </c>
      <c r="O9" s="40" t="n">
        <f aca="false">IFERROR(N9/L9,0)</f>
        <v>0.333333333333333</v>
      </c>
      <c r="P9" s="39" t="n">
        <f aca="false">IFERROR(C9/N9,0)</f>
        <v>70</v>
      </c>
      <c r="Q9" s="43" t="n">
        <v>2500</v>
      </c>
      <c r="R9" s="41" t="n">
        <f aca="false">IFERROR(Q9/C9,0)</f>
        <v>35.7142857142857</v>
      </c>
    </row>
    <row r="10" customFormat="false" ht="15" hidden="false" customHeight="true" outlineLevel="0" collapsed="false">
      <c r="A10" s="29" t="n">
        <f aca="false">A9+1</f>
        <v>46177</v>
      </c>
      <c r="B10" s="30" t="n">
        <f aca="false">IFERROR(WEEKNUM(A10,21),"")</f>
        <v>23</v>
      </c>
      <c r="C10" s="38" t="n">
        <v>50</v>
      </c>
      <c r="D10" s="31" t="n">
        <v>4300</v>
      </c>
      <c r="E10" s="39" t="n">
        <f aca="false">IFERROR(C10/D10*1000,0)</f>
        <v>11.6279069767442</v>
      </c>
      <c r="F10" s="31" t="n">
        <v>58</v>
      </c>
      <c r="G10" s="39" t="n">
        <f aca="false">IFERROR(C10/F10,0)</f>
        <v>0.862068965517241</v>
      </c>
      <c r="H10" s="31" t="n">
        <v>22</v>
      </c>
      <c r="I10" s="31" t="n">
        <v>4</v>
      </c>
      <c r="J10" s="39" t="n">
        <f aca="false">IFERROR(C10/I10,0)</f>
        <v>12.5</v>
      </c>
      <c r="K10" s="31" t="n">
        <v>3</v>
      </c>
      <c r="L10" s="31" t="n">
        <v>1</v>
      </c>
      <c r="M10" s="40" t="n">
        <f aca="false">IFERROR(L10/K10,0)</f>
        <v>0.333333333333333</v>
      </c>
      <c r="N10" s="31" t="n">
        <v>0</v>
      </c>
      <c r="O10" s="40" t="n">
        <f aca="false">IFERROR(N10/L10,0)</f>
        <v>0</v>
      </c>
      <c r="P10" s="39" t="n">
        <f aca="false">IFERROR(C10/N10,0)</f>
        <v>0</v>
      </c>
      <c r="Q10" s="43" t="n">
        <v>0</v>
      </c>
      <c r="R10" s="41" t="n">
        <f aca="false">IFERROR(Q10/C10,0)</f>
        <v>0</v>
      </c>
    </row>
    <row r="11" customFormat="false" ht="15" hidden="false" customHeight="true" outlineLevel="0" collapsed="false">
      <c r="A11" s="29" t="n">
        <f aca="false">A10+1</f>
        <v>46178</v>
      </c>
      <c r="B11" s="30" t="n">
        <f aca="false">IFERROR(WEEKNUM(A11,21),"")</f>
        <v>23</v>
      </c>
      <c r="C11" s="38" t="n">
        <v>65</v>
      </c>
      <c r="D11" s="31" t="n">
        <v>5600</v>
      </c>
      <c r="E11" s="39" t="n">
        <f aca="false">IFERROR(C11/D11*1000,0)</f>
        <v>11.6071428571429</v>
      </c>
      <c r="F11" s="31" t="n">
        <v>78</v>
      </c>
      <c r="G11" s="39" t="n">
        <f aca="false">IFERROR(C11/F11,0)</f>
        <v>0.833333333333333</v>
      </c>
      <c r="H11" s="31" t="n">
        <v>34</v>
      </c>
      <c r="I11" s="31" t="n">
        <v>7</v>
      </c>
      <c r="J11" s="39" t="n">
        <f aca="false">IFERROR(C11/I11,0)</f>
        <v>9.28571428571429</v>
      </c>
      <c r="K11" s="31" t="n">
        <v>5</v>
      </c>
      <c r="L11" s="31" t="n">
        <v>2</v>
      </c>
      <c r="M11" s="40" t="n">
        <f aca="false">IFERROR(L11/K11,0)</f>
        <v>0.4</v>
      </c>
      <c r="N11" s="31" t="n">
        <v>1</v>
      </c>
      <c r="O11" s="40" t="n">
        <f aca="false">IFERROR(N11/L11,0)</f>
        <v>0.5</v>
      </c>
      <c r="P11" s="39" t="n">
        <f aca="false">IFERROR(C11/N11,0)</f>
        <v>65</v>
      </c>
      <c r="Q11" s="43" t="n">
        <v>2500</v>
      </c>
      <c r="R11" s="41" t="n">
        <f aca="false">IFERROR(Q11/C11,0)</f>
        <v>38.4615384615385</v>
      </c>
    </row>
    <row r="12" customFormat="false" ht="15" hidden="false" customHeight="true" outlineLevel="0" collapsed="false">
      <c r="A12" s="29" t="n">
        <f aca="false">A11+1</f>
        <v>46179</v>
      </c>
      <c r="B12" s="30" t="n">
        <f aca="false">IFERROR(WEEKNUM(A12,21),"")</f>
        <v>23</v>
      </c>
      <c r="C12" s="38" t="n">
        <v>45</v>
      </c>
      <c r="D12" s="31" t="n">
        <v>3900</v>
      </c>
      <c r="E12" s="39" t="n">
        <f aca="false">IFERROR(C12/D12*1000,0)</f>
        <v>11.5384615384615</v>
      </c>
      <c r="F12" s="31" t="n">
        <v>52</v>
      </c>
      <c r="G12" s="39" t="n">
        <f aca="false">IFERROR(C12/F12,0)</f>
        <v>0.865384615384615</v>
      </c>
      <c r="H12" s="31" t="n">
        <v>19</v>
      </c>
      <c r="I12" s="31" t="n">
        <v>3</v>
      </c>
      <c r="J12" s="39" t="n">
        <f aca="false">IFERROR(C12/I12,0)</f>
        <v>15</v>
      </c>
      <c r="K12" s="31" t="n">
        <v>2</v>
      </c>
      <c r="L12" s="31" t="n">
        <v>1</v>
      </c>
      <c r="M12" s="40" t="n">
        <f aca="false">IFERROR(L12/K12,0)</f>
        <v>0.5</v>
      </c>
      <c r="N12" s="31" t="n">
        <v>0</v>
      </c>
      <c r="O12" s="40" t="n">
        <f aca="false">IFERROR(N12/L12,0)</f>
        <v>0</v>
      </c>
      <c r="P12" s="39" t="n">
        <f aca="false">IFERROR(C12/N12,0)</f>
        <v>0</v>
      </c>
      <c r="Q12" s="43" t="n">
        <v>0</v>
      </c>
      <c r="R12" s="41" t="n">
        <f aca="false">IFERROR(Q12/C12,0)</f>
        <v>0</v>
      </c>
    </row>
    <row r="13" customFormat="false" ht="15" hidden="false" customHeight="true" outlineLevel="0" collapsed="false">
      <c r="A13" s="29" t="n">
        <f aca="false">A12+1</f>
        <v>46180</v>
      </c>
      <c r="B13" s="30" t="n">
        <f aca="false">IFERROR(WEEKNUM(A13,21),"")</f>
        <v>23</v>
      </c>
      <c r="C13" s="38" t="n">
        <v>58</v>
      </c>
      <c r="D13" s="31" t="n">
        <v>5000</v>
      </c>
      <c r="E13" s="39" t="n">
        <f aca="false">IFERROR(C13/D13*1000,0)</f>
        <v>11.6</v>
      </c>
      <c r="F13" s="31" t="n">
        <v>68</v>
      </c>
      <c r="G13" s="39" t="n">
        <f aca="false">IFERROR(C13/F13,0)</f>
        <v>0.852941176470588</v>
      </c>
      <c r="H13" s="31" t="n">
        <v>28</v>
      </c>
      <c r="I13" s="31" t="n">
        <v>5</v>
      </c>
      <c r="J13" s="39" t="n">
        <f aca="false">IFERROR(C13/I13,0)</f>
        <v>11.6</v>
      </c>
      <c r="K13" s="31" t="n">
        <v>4</v>
      </c>
      <c r="L13" s="31" t="n">
        <v>2</v>
      </c>
      <c r="M13" s="40" t="n">
        <f aca="false">IFERROR(L13/K13,0)</f>
        <v>0.5</v>
      </c>
      <c r="N13" s="31" t="n">
        <v>0</v>
      </c>
      <c r="O13" s="40" t="n">
        <f aca="false">IFERROR(N13/L13,0)</f>
        <v>0</v>
      </c>
      <c r="P13" s="39" t="n">
        <f aca="false">IFERROR(C13/N13,0)</f>
        <v>0</v>
      </c>
      <c r="Q13" s="43" t="n">
        <v>0</v>
      </c>
      <c r="R13" s="41" t="n">
        <f aca="false">IFERROR(Q13/C13,0)</f>
        <v>0</v>
      </c>
    </row>
    <row r="14" customFormat="false" ht="15" hidden="false" customHeight="true" outlineLevel="0" collapsed="false">
      <c r="A14" s="29" t="n">
        <f aca="false">A13+1</f>
        <v>46181</v>
      </c>
      <c r="B14" s="30" t="n">
        <f aca="false">IFERROR(WEEKNUM(A14,21),"")</f>
        <v>24</v>
      </c>
      <c r="C14" s="38"/>
      <c r="D14" s="31"/>
      <c r="E14" s="39" t="n">
        <f aca="false">IFERROR(C14/D14*1000,0)</f>
        <v>0</v>
      </c>
      <c r="F14" s="31"/>
      <c r="G14" s="39" t="n">
        <f aca="false">IFERROR(C14/F14,0)</f>
        <v>0</v>
      </c>
      <c r="H14" s="31"/>
      <c r="I14" s="31"/>
      <c r="J14" s="39" t="n">
        <f aca="false">IFERROR(C14/I14,0)</f>
        <v>0</v>
      </c>
      <c r="K14" s="31"/>
      <c r="L14" s="31"/>
      <c r="M14" s="40" t="n">
        <f aca="false">IFERROR(L14/K14,0)</f>
        <v>0</v>
      </c>
      <c r="N14" s="31"/>
      <c r="O14" s="40" t="n">
        <f aca="false">IFERROR(N14/L14,0)</f>
        <v>0</v>
      </c>
      <c r="P14" s="39" t="n">
        <f aca="false">IFERROR(C14/N14,0)</f>
        <v>0</v>
      </c>
      <c r="Q14" s="43"/>
      <c r="R14" s="41" t="n">
        <f aca="false">IFERROR(Q14/C14,0)</f>
        <v>0</v>
      </c>
    </row>
    <row r="15" customFormat="false" ht="15" hidden="false" customHeight="true" outlineLevel="0" collapsed="false">
      <c r="A15" s="29" t="n">
        <f aca="false">A14+1</f>
        <v>46182</v>
      </c>
      <c r="B15" s="30" t="n">
        <f aca="false">IFERROR(WEEKNUM(A15,21),"")</f>
        <v>24</v>
      </c>
      <c r="C15" s="38"/>
      <c r="D15" s="31"/>
      <c r="E15" s="39" t="n">
        <f aca="false">IFERROR(C15/D15*1000,0)</f>
        <v>0</v>
      </c>
      <c r="F15" s="31"/>
      <c r="G15" s="39" t="n">
        <f aca="false">IFERROR(C15/F15,0)</f>
        <v>0</v>
      </c>
      <c r="H15" s="31"/>
      <c r="I15" s="31"/>
      <c r="J15" s="39" t="n">
        <f aca="false">IFERROR(C15/I15,0)</f>
        <v>0</v>
      </c>
      <c r="K15" s="31"/>
      <c r="L15" s="31"/>
      <c r="M15" s="40" t="n">
        <f aca="false">IFERROR(L15/K15,0)</f>
        <v>0</v>
      </c>
      <c r="N15" s="31"/>
      <c r="O15" s="40" t="n">
        <f aca="false">IFERROR(N15/L15,0)</f>
        <v>0</v>
      </c>
      <c r="P15" s="39" t="n">
        <f aca="false">IFERROR(C15/N15,0)</f>
        <v>0</v>
      </c>
      <c r="Q15" s="43"/>
      <c r="R15" s="41" t="n">
        <f aca="false">IFERROR(Q15/C15,0)</f>
        <v>0</v>
      </c>
    </row>
    <row r="16" customFormat="false" ht="15" hidden="false" customHeight="true" outlineLevel="0" collapsed="false">
      <c r="A16" s="29" t="n">
        <f aca="false">A15+1</f>
        <v>46183</v>
      </c>
      <c r="B16" s="30" t="n">
        <f aca="false">IFERROR(WEEKNUM(A16,21),"")</f>
        <v>24</v>
      </c>
      <c r="C16" s="38"/>
      <c r="D16" s="31"/>
      <c r="E16" s="39" t="n">
        <f aca="false">IFERROR(C16/D16*1000,0)</f>
        <v>0</v>
      </c>
      <c r="F16" s="31"/>
      <c r="G16" s="39" t="n">
        <f aca="false">IFERROR(C16/F16,0)</f>
        <v>0</v>
      </c>
      <c r="H16" s="31"/>
      <c r="I16" s="31"/>
      <c r="J16" s="39" t="n">
        <f aca="false">IFERROR(C16/I16,0)</f>
        <v>0</v>
      </c>
      <c r="K16" s="31"/>
      <c r="L16" s="31"/>
      <c r="M16" s="40" t="n">
        <f aca="false">IFERROR(L16/K16,0)</f>
        <v>0</v>
      </c>
      <c r="N16" s="31"/>
      <c r="O16" s="40" t="n">
        <f aca="false">IFERROR(N16/L16,0)</f>
        <v>0</v>
      </c>
      <c r="P16" s="39" t="n">
        <f aca="false">IFERROR(C16/N16,0)</f>
        <v>0</v>
      </c>
      <c r="Q16" s="43"/>
      <c r="R16" s="41" t="n">
        <f aca="false">IFERROR(Q16/C16,0)</f>
        <v>0</v>
      </c>
    </row>
    <row r="17" customFormat="false" ht="15" hidden="false" customHeight="true" outlineLevel="0" collapsed="false">
      <c r="A17" s="29" t="n">
        <f aca="false">A16+1</f>
        <v>46184</v>
      </c>
      <c r="B17" s="30" t="n">
        <f aca="false">IFERROR(WEEKNUM(A17,21),"")</f>
        <v>24</v>
      </c>
      <c r="C17" s="38"/>
      <c r="D17" s="31"/>
      <c r="E17" s="39" t="n">
        <f aca="false">IFERROR(C17/D17*1000,0)</f>
        <v>0</v>
      </c>
      <c r="F17" s="31"/>
      <c r="G17" s="39" t="n">
        <f aca="false">IFERROR(C17/F17,0)</f>
        <v>0</v>
      </c>
      <c r="H17" s="31"/>
      <c r="I17" s="31"/>
      <c r="J17" s="39" t="n">
        <f aca="false">IFERROR(C17/I17,0)</f>
        <v>0</v>
      </c>
      <c r="K17" s="31"/>
      <c r="L17" s="31"/>
      <c r="M17" s="40" t="n">
        <f aca="false">IFERROR(L17/K17,0)</f>
        <v>0</v>
      </c>
      <c r="N17" s="31"/>
      <c r="O17" s="40" t="n">
        <f aca="false">IFERROR(N17/L17,0)</f>
        <v>0</v>
      </c>
      <c r="P17" s="39" t="n">
        <f aca="false">IFERROR(C17/N17,0)</f>
        <v>0</v>
      </c>
      <c r="Q17" s="43"/>
      <c r="R17" s="41" t="n">
        <f aca="false">IFERROR(Q17/C17,0)</f>
        <v>0</v>
      </c>
    </row>
    <row r="18" customFormat="false" ht="15" hidden="false" customHeight="true" outlineLevel="0" collapsed="false">
      <c r="A18" s="29" t="n">
        <f aca="false">A17+1</f>
        <v>46185</v>
      </c>
      <c r="B18" s="30" t="n">
        <f aca="false">IFERROR(WEEKNUM(A18,21),"")</f>
        <v>24</v>
      </c>
      <c r="C18" s="38"/>
      <c r="D18" s="31"/>
      <c r="E18" s="39" t="n">
        <f aca="false">IFERROR(C18/D18*1000,0)</f>
        <v>0</v>
      </c>
      <c r="F18" s="31"/>
      <c r="G18" s="39" t="n">
        <f aca="false">IFERROR(C18/F18,0)</f>
        <v>0</v>
      </c>
      <c r="H18" s="31"/>
      <c r="I18" s="31"/>
      <c r="J18" s="39" t="n">
        <f aca="false">IFERROR(C18/I18,0)</f>
        <v>0</v>
      </c>
      <c r="K18" s="31"/>
      <c r="L18" s="31"/>
      <c r="M18" s="40" t="n">
        <f aca="false">IFERROR(L18/K18,0)</f>
        <v>0</v>
      </c>
      <c r="N18" s="31"/>
      <c r="O18" s="40" t="n">
        <f aca="false">IFERROR(N18/L18,0)</f>
        <v>0</v>
      </c>
      <c r="P18" s="39" t="n">
        <f aca="false">IFERROR(C18/N18,0)</f>
        <v>0</v>
      </c>
      <c r="Q18" s="43"/>
      <c r="R18" s="41" t="n">
        <f aca="false">IFERROR(Q18/C18,0)</f>
        <v>0</v>
      </c>
    </row>
    <row r="19" customFormat="false" ht="15" hidden="false" customHeight="true" outlineLevel="0" collapsed="false">
      <c r="A19" s="29" t="n">
        <f aca="false">A18+1</f>
        <v>46186</v>
      </c>
      <c r="B19" s="30" t="n">
        <f aca="false">IFERROR(WEEKNUM(A19,21),"")</f>
        <v>24</v>
      </c>
      <c r="C19" s="38"/>
      <c r="D19" s="31"/>
      <c r="E19" s="39" t="n">
        <f aca="false">IFERROR(C19/D19*1000,0)</f>
        <v>0</v>
      </c>
      <c r="F19" s="31"/>
      <c r="G19" s="39" t="n">
        <f aca="false">IFERROR(C19/F19,0)</f>
        <v>0</v>
      </c>
      <c r="H19" s="31"/>
      <c r="I19" s="31"/>
      <c r="J19" s="39" t="n">
        <f aca="false">IFERROR(C19/I19,0)</f>
        <v>0</v>
      </c>
      <c r="K19" s="31"/>
      <c r="L19" s="31"/>
      <c r="M19" s="40" t="n">
        <f aca="false">IFERROR(L19/K19,0)</f>
        <v>0</v>
      </c>
      <c r="N19" s="31"/>
      <c r="O19" s="40" t="n">
        <f aca="false">IFERROR(N19/L19,0)</f>
        <v>0</v>
      </c>
      <c r="P19" s="39" t="n">
        <f aca="false">IFERROR(C19/N19,0)</f>
        <v>0</v>
      </c>
      <c r="Q19" s="43"/>
      <c r="R19" s="41" t="n">
        <f aca="false">IFERROR(Q19/C19,0)</f>
        <v>0</v>
      </c>
    </row>
    <row r="20" customFormat="false" ht="15" hidden="false" customHeight="true" outlineLevel="0" collapsed="false">
      <c r="A20" s="29" t="n">
        <f aca="false">A19+1</f>
        <v>46187</v>
      </c>
      <c r="B20" s="30" t="n">
        <f aca="false">IFERROR(WEEKNUM(A20,21),"")</f>
        <v>24</v>
      </c>
      <c r="C20" s="38"/>
      <c r="D20" s="31"/>
      <c r="E20" s="39" t="n">
        <f aca="false">IFERROR(C20/D20*1000,0)</f>
        <v>0</v>
      </c>
      <c r="F20" s="31"/>
      <c r="G20" s="39" t="n">
        <f aca="false">IFERROR(C20/F20,0)</f>
        <v>0</v>
      </c>
      <c r="H20" s="31"/>
      <c r="I20" s="31"/>
      <c r="J20" s="39" t="n">
        <f aca="false">IFERROR(C20/I20,0)</f>
        <v>0</v>
      </c>
      <c r="K20" s="31"/>
      <c r="L20" s="31"/>
      <c r="M20" s="40" t="n">
        <f aca="false">IFERROR(L20/K20,0)</f>
        <v>0</v>
      </c>
      <c r="N20" s="31"/>
      <c r="O20" s="40" t="n">
        <f aca="false">IFERROR(N20/L20,0)</f>
        <v>0</v>
      </c>
      <c r="P20" s="39" t="n">
        <f aca="false">IFERROR(C20/N20,0)</f>
        <v>0</v>
      </c>
      <c r="Q20" s="43"/>
      <c r="R20" s="41" t="n">
        <f aca="false">IFERROR(Q20/C20,0)</f>
        <v>0</v>
      </c>
    </row>
    <row r="21" customFormat="false" ht="15" hidden="false" customHeight="true" outlineLevel="0" collapsed="false">
      <c r="A21" s="29" t="n">
        <f aca="false">A20+1</f>
        <v>46188</v>
      </c>
      <c r="B21" s="30" t="n">
        <f aca="false">IFERROR(WEEKNUM(A21,21),"")</f>
        <v>25</v>
      </c>
      <c r="C21" s="38"/>
      <c r="D21" s="31"/>
      <c r="E21" s="39" t="n">
        <f aca="false">IFERROR(C21/D21*1000,0)</f>
        <v>0</v>
      </c>
      <c r="F21" s="31"/>
      <c r="G21" s="39" t="n">
        <f aca="false">IFERROR(C21/F21,0)</f>
        <v>0</v>
      </c>
      <c r="H21" s="31"/>
      <c r="I21" s="31"/>
      <c r="J21" s="39" t="n">
        <f aca="false">IFERROR(C21/I21,0)</f>
        <v>0</v>
      </c>
      <c r="K21" s="31"/>
      <c r="L21" s="31"/>
      <c r="M21" s="40" t="n">
        <f aca="false">IFERROR(L21/K21,0)</f>
        <v>0</v>
      </c>
      <c r="N21" s="31"/>
      <c r="O21" s="40" t="n">
        <f aca="false">IFERROR(N21/L21,0)</f>
        <v>0</v>
      </c>
      <c r="P21" s="39" t="n">
        <f aca="false">IFERROR(C21/N21,0)</f>
        <v>0</v>
      </c>
      <c r="Q21" s="43"/>
      <c r="R21" s="41" t="n">
        <f aca="false">IFERROR(Q21/C21,0)</f>
        <v>0</v>
      </c>
    </row>
    <row r="22" customFormat="false" ht="15" hidden="false" customHeight="true" outlineLevel="0" collapsed="false">
      <c r="A22" s="29" t="n">
        <f aca="false">A21+1</f>
        <v>46189</v>
      </c>
      <c r="B22" s="30" t="n">
        <f aca="false">IFERROR(WEEKNUM(A22,21),"")</f>
        <v>25</v>
      </c>
      <c r="C22" s="38"/>
      <c r="D22" s="31"/>
      <c r="E22" s="39" t="n">
        <f aca="false">IFERROR(C22/D22*1000,0)</f>
        <v>0</v>
      </c>
      <c r="F22" s="31"/>
      <c r="G22" s="39" t="n">
        <f aca="false">IFERROR(C22/F22,0)</f>
        <v>0</v>
      </c>
      <c r="H22" s="31"/>
      <c r="I22" s="31"/>
      <c r="J22" s="39" t="n">
        <f aca="false">IFERROR(C22/I22,0)</f>
        <v>0</v>
      </c>
      <c r="K22" s="31"/>
      <c r="L22" s="31"/>
      <c r="M22" s="40" t="n">
        <f aca="false">IFERROR(L22/K22,0)</f>
        <v>0</v>
      </c>
      <c r="N22" s="31"/>
      <c r="O22" s="40" t="n">
        <f aca="false">IFERROR(N22/L22,0)</f>
        <v>0</v>
      </c>
      <c r="P22" s="39" t="n">
        <f aca="false">IFERROR(C22/N22,0)</f>
        <v>0</v>
      </c>
      <c r="Q22" s="43"/>
      <c r="R22" s="41" t="n">
        <f aca="false">IFERROR(Q22/C22,0)</f>
        <v>0</v>
      </c>
    </row>
    <row r="23" customFormat="false" ht="15" hidden="false" customHeight="true" outlineLevel="0" collapsed="false">
      <c r="A23" s="29" t="n">
        <f aca="false">A22+1</f>
        <v>46190</v>
      </c>
      <c r="B23" s="30" t="n">
        <f aca="false">IFERROR(WEEKNUM(A23,21),"")</f>
        <v>25</v>
      </c>
      <c r="C23" s="38"/>
      <c r="D23" s="31"/>
      <c r="E23" s="39" t="n">
        <f aca="false">IFERROR(C23/D23*1000,0)</f>
        <v>0</v>
      </c>
      <c r="F23" s="31"/>
      <c r="G23" s="39" t="n">
        <f aca="false">IFERROR(C23/F23,0)</f>
        <v>0</v>
      </c>
      <c r="H23" s="31"/>
      <c r="I23" s="31"/>
      <c r="J23" s="39" t="n">
        <f aca="false">IFERROR(C23/I23,0)</f>
        <v>0</v>
      </c>
      <c r="K23" s="31"/>
      <c r="L23" s="31"/>
      <c r="M23" s="40" t="n">
        <f aca="false">IFERROR(L23/K23,0)</f>
        <v>0</v>
      </c>
      <c r="N23" s="31"/>
      <c r="O23" s="40" t="n">
        <f aca="false">IFERROR(N23/L23,0)</f>
        <v>0</v>
      </c>
      <c r="P23" s="39" t="n">
        <f aca="false">IFERROR(C23/N23,0)</f>
        <v>0</v>
      </c>
      <c r="Q23" s="43"/>
      <c r="R23" s="41" t="n">
        <f aca="false">IFERROR(Q23/C23,0)</f>
        <v>0</v>
      </c>
    </row>
    <row r="24" customFormat="false" ht="15" hidden="false" customHeight="true" outlineLevel="0" collapsed="false">
      <c r="A24" s="29" t="n">
        <f aca="false">A23+1</f>
        <v>46191</v>
      </c>
      <c r="B24" s="30" t="n">
        <f aca="false">IFERROR(WEEKNUM(A24,21),"")</f>
        <v>25</v>
      </c>
      <c r="C24" s="38"/>
      <c r="D24" s="31"/>
      <c r="E24" s="39" t="n">
        <f aca="false">IFERROR(C24/D24*1000,0)</f>
        <v>0</v>
      </c>
      <c r="F24" s="31"/>
      <c r="G24" s="39" t="n">
        <f aca="false">IFERROR(C24/F24,0)</f>
        <v>0</v>
      </c>
      <c r="H24" s="31"/>
      <c r="I24" s="31"/>
      <c r="J24" s="39" t="n">
        <f aca="false">IFERROR(C24/I24,0)</f>
        <v>0</v>
      </c>
      <c r="K24" s="31"/>
      <c r="L24" s="31"/>
      <c r="M24" s="40" t="n">
        <f aca="false">IFERROR(L24/K24,0)</f>
        <v>0</v>
      </c>
      <c r="N24" s="31"/>
      <c r="O24" s="40" t="n">
        <f aca="false">IFERROR(N24/L24,0)</f>
        <v>0</v>
      </c>
      <c r="P24" s="39" t="n">
        <f aca="false">IFERROR(C24/N24,0)</f>
        <v>0</v>
      </c>
      <c r="Q24" s="43"/>
      <c r="R24" s="41" t="n">
        <f aca="false">IFERROR(Q24/C24,0)</f>
        <v>0</v>
      </c>
    </row>
    <row r="25" customFormat="false" ht="15" hidden="false" customHeight="true" outlineLevel="0" collapsed="false">
      <c r="A25" s="29" t="n">
        <f aca="false">A24+1</f>
        <v>46192</v>
      </c>
      <c r="B25" s="30" t="n">
        <f aca="false">IFERROR(WEEKNUM(A25,21),"")</f>
        <v>25</v>
      </c>
      <c r="C25" s="38"/>
      <c r="D25" s="31"/>
      <c r="E25" s="39" t="n">
        <f aca="false">IFERROR(C25/D25*1000,0)</f>
        <v>0</v>
      </c>
      <c r="F25" s="31"/>
      <c r="G25" s="39" t="n">
        <f aca="false">IFERROR(C25/F25,0)</f>
        <v>0</v>
      </c>
      <c r="H25" s="31"/>
      <c r="I25" s="31"/>
      <c r="J25" s="39" t="n">
        <f aca="false">IFERROR(C25/I25,0)</f>
        <v>0</v>
      </c>
      <c r="K25" s="31"/>
      <c r="L25" s="31"/>
      <c r="M25" s="40" t="n">
        <f aca="false">IFERROR(L25/K25,0)</f>
        <v>0</v>
      </c>
      <c r="N25" s="31"/>
      <c r="O25" s="40" t="n">
        <f aca="false">IFERROR(N25/L25,0)</f>
        <v>0</v>
      </c>
      <c r="P25" s="39" t="n">
        <f aca="false">IFERROR(C25/N25,0)</f>
        <v>0</v>
      </c>
      <c r="Q25" s="43"/>
      <c r="R25" s="41" t="n">
        <f aca="false">IFERROR(Q25/C25,0)</f>
        <v>0</v>
      </c>
    </row>
    <row r="26" customFormat="false" ht="15" hidden="false" customHeight="true" outlineLevel="0" collapsed="false">
      <c r="A26" s="29" t="n">
        <f aca="false">A25+1</f>
        <v>46193</v>
      </c>
      <c r="B26" s="30" t="n">
        <f aca="false">IFERROR(WEEKNUM(A26,21),"")</f>
        <v>25</v>
      </c>
      <c r="C26" s="38"/>
      <c r="D26" s="31"/>
      <c r="E26" s="39" t="n">
        <f aca="false">IFERROR(C26/D26*1000,0)</f>
        <v>0</v>
      </c>
      <c r="F26" s="31"/>
      <c r="G26" s="39" t="n">
        <f aca="false">IFERROR(C26/F26,0)</f>
        <v>0</v>
      </c>
      <c r="H26" s="31"/>
      <c r="I26" s="31"/>
      <c r="J26" s="39" t="n">
        <f aca="false">IFERROR(C26/I26,0)</f>
        <v>0</v>
      </c>
      <c r="K26" s="31"/>
      <c r="L26" s="31"/>
      <c r="M26" s="40" t="n">
        <f aca="false">IFERROR(L26/K26,0)</f>
        <v>0</v>
      </c>
      <c r="N26" s="31"/>
      <c r="O26" s="40" t="n">
        <f aca="false">IFERROR(N26/L26,0)</f>
        <v>0</v>
      </c>
      <c r="P26" s="39" t="n">
        <f aca="false">IFERROR(C26/N26,0)</f>
        <v>0</v>
      </c>
      <c r="Q26" s="43"/>
      <c r="R26" s="41" t="n">
        <f aca="false">IFERROR(Q26/C26,0)</f>
        <v>0</v>
      </c>
    </row>
    <row r="27" customFormat="false" ht="15" hidden="false" customHeight="true" outlineLevel="0" collapsed="false">
      <c r="A27" s="29" t="n">
        <f aca="false">A26+1</f>
        <v>46194</v>
      </c>
      <c r="B27" s="30" t="n">
        <f aca="false">IFERROR(WEEKNUM(A27,21),"")</f>
        <v>25</v>
      </c>
      <c r="C27" s="38"/>
      <c r="D27" s="31"/>
      <c r="E27" s="39" t="n">
        <f aca="false">IFERROR(C27/D27*1000,0)</f>
        <v>0</v>
      </c>
      <c r="F27" s="31"/>
      <c r="G27" s="39" t="n">
        <f aca="false">IFERROR(C27/F27,0)</f>
        <v>0</v>
      </c>
      <c r="H27" s="31"/>
      <c r="I27" s="31"/>
      <c r="J27" s="39" t="n">
        <f aca="false">IFERROR(C27/I27,0)</f>
        <v>0</v>
      </c>
      <c r="K27" s="31"/>
      <c r="L27" s="31"/>
      <c r="M27" s="40" t="n">
        <f aca="false">IFERROR(L27/K27,0)</f>
        <v>0</v>
      </c>
      <c r="N27" s="31"/>
      <c r="O27" s="40" t="n">
        <f aca="false">IFERROR(N27/L27,0)</f>
        <v>0</v>
      </c>
      <c r="P27" s="39" t="n">
        <f aca="false">IFERROR(C27/N27,0)</f>
        <v>0</v>
      </c>
      <c r="Q27" s="43"/>
      <c r="R27" s="41" t="n">
        <f aca="false">IFERROR(Q27/C27,0)</f>
        <v>0</v>
      </c>
    </row>
    <row r="28" customFormat="false" ht="15" hidden="false" customHeight="true" outlineLevel="0" collapsed="false">
      <c r="A28" s="29" t="n">
        <f aca="false">A27+1</f>
        <v>46195</v>
      </c>
      <c r="B28" s="30" t="n">
        <f aca="false">IFERROR(WEEKNUM(A28,21),"")</f>
        <v>26</v>
      </c>
      <c r="C28" s="38"/>
      <c r="D28" s="31"/>
      <c r="E28" s="39" t="n">
        <f aca="false">IFERROR(C28/D28*1000,0)</f>
        <v>0</v>
      </c>
      <c r="F28" s="31"/>
      <c r="G28" s="39" t="n">
        <f aca="false">IFERROR(C28/F28,0)</f>
        <v>0</v>
      </c>
      <c r="H28" s="31"/>
      <c r="I28" s="31"/>
      <c r="J28" s="39" t="n">
        <f aca="false">IFERROR(C28/I28,0)</f>
        <v>0</v>
      </c>
      <c r="K28" s="31"/>
      <c r="L28" s="31"/>
      <c r="M28" s="40" t="n">
        <f aca="false">IFERROR(L28/K28,0)</f>
        <v>0</v>
      </c>
      <c r="N28" s="31"/>
      <c r="O28" s="40" t="n">
        <f aca="false">IFERROR(N28/L28,0)</f>
        <v>0</v>
      </c>
      <c r="P28" s="39" t="n">
        <f aca="false">IFERROR(C28/N28,0)</f>
        <v>0</v>
      </c>
      <c r="Q28" s="43"/>
      <c r="R28" s="41" t="n">
        <f aca="false">IFERROR(Q28/C28,0)</f>
        <v>0</v>
      </c>
    </row>
    <row r="29" customFormat="false" ht="15" hidden="false" customHeight="true" outlineLevel="0" collapsed="false">
      <c r="A29" s="29" t="n">
        <f aca="false">A28+1</f>
        <v>46196</v>
      </c>
      <c r="B29" s="30" t="n">
        <f aca="false">IFERROR(WEEKNUM(A29,21),"")</f>
        <v>26</v>
      </c>
      <c r="C29" s="38"/>
      <c r="D29" s="31"/>
      <c r="E29" s="39" t="n">
        <f aca="false">IFERROR(C29/D29*1000,0)</f>
        <v>0</v>
      </c>
      <c r="F29" s="31"/>
      <c r="G29" s="39" t="n">
        <f aca="false">IFERROR(C29/F29,0)</f>
        <v>0</v>
      </c>
      <c r="H29" s="31"/>
      <c r="I29" s="31"/>
      <c r="J29" s="39" t="n">
        <f aca="false">IFERROR(C29/I29,0)</f>
        <v>0</v>
      </c>
      <c r="K29" s="31"/>
      <c r="L29" s="31"/>
      <c r="M29" s="40" t="n">
        <f aca="false">IFERROR(L29/K29,0)</f>
        <v>0</v>
      </c>
      <c r="N29" s="31"/>
      <c r="O29" s="40" t="n">
        <f aca="false">IFERROR(N29/L29,0)</f>
        <v>0</v>
      </c>
      <c r="P29" s="39" t="n">
        <f aca="false">IFERROR(C29/N29,0)</f>
        <v>0</v>
      </c>
      <c r="Q29" s="43"/>
      <c r="R29" s="41" t="n">
        <f aca="false">IFERROR(Q29/C29,0)</f>
        <v>0</v>
      </c>
    </row>
    <row r="30" customFormat="false" ht="15" hidden="false" customHeight="true" outlineLevel="0" collapsed="false">
      <c r="A30" s="29" t="n">
        <f aca="false">A29+1</f>
        <v>46197</v>
      </c>
      <c r="B30" s="30" t="n">
        <f aca="false">IFERROR(WEEKNUM(A30,21),"")</f>
        <v>26</v>
      </c>
      <c r="C30" s="38"/>
      <c r="D30" s="31"/>
      <c r="E30" s="39" t="n">
        <f aca="false">IFERROR(C30/D30*1000,0)</f>
        <v>0</v>
      </c>
      <c r="F30" s="31"/>
      <c r="G30" s="39" t="n">
        <f aca="false">IFERROR(C30/F30,0)</f>
        <v>0</v>
      </c>
      <c r="H30" s="31"/>
      <c r="I30" s="31"/>
      <c r="J30" s="39" t="n">
        <f aca="false">IFERROR(C30/I30,0)</f>
        <v>0</v>
      </c>
      <c r="K30" s="31"/>
      <c r="L30" s="31"/>
      <c r="M30" s="40" t="n">
        <f aca="false">IFERROR(L30/K30,0)</f>
        <v>0</v>
      </c>
      <c r="N30" s="31"/>
      <c r="O30" s="40" t="n">
        <f aca="false">IFERROR(N30/L30,0)</f>
        <v>0</v>
      </c>
      <c r="P30" s="39" t="n">
        <f aca="false">IFERROR(C30/N30,0)</f>
        <v>0</v>
      </c>
      <c r="Q30" s="43"/>
      <c r="R30" s="41" t="n">
        <f aca="false">IFERROR(Q30/C30,0)</f>
        <v>0</v>
      </c>
    </row>
    <row r="31" customFormat="false" ht="15" hidden="false" customHeight="true" outlineLevel="0" collapsed="false">
      <c r="A31" s="29" t="n">
        <f aca="false">A30+1</f>
        <v>46198</v>
      </c>
      <c r="B31" s="30" t="n">
        <f aca="false">IFERROR(WEEKNUM(A31,21),"")</f>
        <v>26</v>
      </c>
      <c r="C31" s="38"/>
      <c r="D31" s="31"/>
      <c r="E31" s="39" t="n">
        <f aca="false">IFERROR(C31/D31*1000,0)</f>
        <v>0</v>
      </c>
      <c r="F31" s="31"/>
      <c r="G31" s="39" t="n">
        <f aca="false">IFERROR(C31/F31,0)</f>
        <v>0</v>
      </c>
      <c r="H31" s="31"/>
      <c r="I31" s="31"/>
      <c r="J31" s="39" t="n">
        <f aca="false">IFERROR(C31/I31,0)</f>
        <v>0</v>
      </c>
      <c r="K31" s="31"/>
      <c r="L31" s="31"/>
      <c r="M31" s="40" t="n">
        <f aca="false">IFERROR(L31/K31,0)</f>
        <v>0</v>
      </c>
      <c r="N31" s="31"/>
      <c r="O31" s="40" t="n">
        <f aca="false">IFERROR(N31/L31,0)</f>
        <v>0</v>
      </c>
      <c r="P31" s="39" t="n">
        <f aca="false">IFERROR(C31/N31,0)</f>
        <v>0</v>
      </c>
      <c r="Q31" s="43"/>
      <c r="R31" s="41" t="n">
        <f aca="false">IFERROR(Q31/C31,0)</f>
        <v>0</v>
      </c>
    </row>
    <row r="32" customFormat="false" ht="15" hidden="false" customHeight="true" outlineLevel="0" collapsed="false">
      <c r="A32" s="29" t="n">
        <f aca="false">A31+1</f>
        <v>46199</v>
      </c>
      <c r="B32" s="30" t="n">
        <f aca="false">IFERROR(WEEKNUM(A32,21),"")</f>
        <v>26</v>
      </c>
      <c r="C32" s="38"/>
      <c r="D32" s="31"/>
      <c r="E32" s="39" t="n">
        <f aca="false">IFERROR(C32/D32*1000,0)</f>
        <v>0</v>
      </c>
      <c r="F32" s="31"/>
      <c r="G32" s="39" t="n">
        <f aca="false">IFERROR(C32/F32,0)</f>
        <v>0</v>
      </c>
      <c r="H32" s="31"/>
      <c r="I32" s="31"/>
      <c r="J32" s="39" t="n">
        <f aca="false">IFERROR(C32/I32,0)</f>
        <v>0</v>
      </c>
      <c r="K32" s="31"/>
      <c r="L32" s="31"/>
      <c r="M32" s="40" t="n">
        <f aca="false">IFERROR(L32/K32,0)</f>
        <v>0</v>
      </c>
      <c r="N32" s="31"/>
      <c r="O32" s="40" t="n">
        <f aca="false">IFERROR(N32/L32,0)</f>
        <v>0</v>
      </c>
      <c r="P32" s="39" t="n">
        <f aca="false">IFERROR(C32/N32,0)</f>
        <v>0</v>
      </c>
      <c r="Q32" s="43"/>
      <c r="R32" s="41" t="n">
        <f aca="false">IFERROR(Q32/C32,0)</f>
        <v>0</v>
      </c>
    </row>
    <row r="33" customFormat="false" ht="15" hidden="false" customHeight="true" outlineLevel="0" collapsed="false">
      <c r="A33" s="29" t="n">
        <f aca="false">A32+1</f>
        <v>46200</v>
      </c>
      <c r="B33" s="30" t="n">
        <f aca="false">IFERROR(WEEKNUM(A33,21),"")</f>
        <v>26</v>
      </c>
      <c r="C33" s="38"/>
      <c r="D33" s="31"/>
      <c r="E33" s="39" t="n">
        <f aca="false">IFERROR(C33/D33*1000,0)</f>
        <v>0</v>
      </c>
      <c r="F33" s="31"/>
      <c r="G33" s="39" t="n">
        <f aca="false">IFERROR(C33/F33,0)</f>
        <v>0</v>
      </c>
      <c r="H33" s="31"/>
      <c r="I33" s="31"/>
      <c r="J33" s="39" t="n">
        <f aca="false">IFERROR(C33/I33,0)</f>
        <v>0</v>
      </c>
      <c r="K33" s="31"/>
      <c r="L33" s="31"/>
      <c r="M33" s="40" t="n">
        <f aca="false">IFERROR(L33/K33,0)</f>
        <v>0</v>
      </c>
      <c r="N33" s="31"/>
      <c r="O33" s="40" t="n">
        <f aca="false">IFERROR(N33/L33,0)</f>
        <v>0</v>
      </c>
      <c r="P33" s="39" t="n">
        <f aca="false">IFERROR(C33/N33,0)</f>
        <v>0</v>
      </c>
      <c r="Q33" s="43"/>
      <c r="R33" s="41" t="n">
        <f aca="false">IFERROR(Q33/C33,0)</f>
        <v>0</v>
      </c>
    </row>
    <row r="34" customFormat="false" ht="15" hidden="false" customHeight="true" outlineLevel="0" collapsed="false">
      <c r="A34" s="29" t="n">
        <f aca="false">A33+1</f>
        <v>46201</v>
      </c>
      <c r="B34" s="30" t="n">
        <f aca="false">IFERROR(WEEKNUM(A34,21),"")</f>
        <v>26</v>
      </c>
      <c r="C34" s="38"/>
      <c r="D34" s="31"/>
      <c r="E34" s="39" t="n">
        <f aca="false">IFERROR(C34/D34*1000,0)</f>
        <v>0</v>
      </c>
      <c r="F34" s="31"/>
      <c r="G34" s="39" t="n">
        <f aca="false">IFERROR(C34/F34,0)</f>
        <v>0</v>
      </c>
      <c r="H34" s="31"/>
      <c r="I34" s="31"/>
      <c r="J34" s="39" t="n">
        <f aca="false">IFERROR(C34/I34,0)</f>
        <v>0</v>
      </c>
      <c r="K34" s="31"/>
      <c r="L34" s="31"/>
      <c r="M34" s="40" t="n">
        <f aca="false">IFERROR(L34/K34,0)</f>
        <v>0</v>
      </c>
      <c r="N34" s="31"/>
      <c r="O34" s="40" t="n">
        <f aca="false">IFERROR(N34/L34,0)</f>
        <v>0</v>
      </c>
      <c r="P34" s="39" t="n">
        <f aca="false">IFERROR(C34/N34,0)</f>
        <v>0</v>
      </c>
      <c r="Q34" s="43"/>
      <c r="R34" s="41" t="n">
        <f aca="false">IFERROR(Q34/C34,0)</f>
        <v>0</v>
      </c>
    </row>
    <row r="35" customFormat="false" ht="15" hidden="false" customHeight="true" outlineLevel="0" collapsed="false">
      <c r="A35" s="29" t="n">
        <f aca="false">A34+1</f>
        <v>46202</v>
      </c>
      <c r="B35" s="30" t="n">
        <f aca="false">IFERROR(WEEKNUM(A35,21),"")</f>
        <v>27</v>
      </c>
      <c r="C35" s="38"/>
      <c r="D35" s="31"/>
      <c r="E35" s="39" t="n">
        <f aca="false">IFERROR(C35/D35*1000,0)</f>
        <v>0</v>
      </c>
      <c r="F35" s="31"/>
      <c r="G35" s="39" t="n">
        <f aca="false">IFERROR(C35/F35,0)</f>
        <v>0</v>
      </c>
      <c r="H35" s="31"/>
      <c r="I35" s="31"/>
      <c r="J35" s="39" t="n">
        <f aca="false">IFERROR(C35/I35,0)</f>
        <v>0</v>
      </c>
      <c r="K35" s="31"/>
      <c r="L35" s="31"/>
      <c r="M35" s="40" t="n">
        <f aca="false">IFERROR(L35/K35,0)</f>
        <v>0</v>
      </c>
      <c r="N35" s="31"/>
      <c r="O35" s="40" t="n">
        <f aca="false">IFERROR(N35/L35,0)</f>
        <v>0</v>
      </c>
      <c r="P35" s="39" t="n">
        <f aca="false">IFERROR(C35/N35,0)</f>
        <v>0</v>
      </c>
      <c r="Q35" s="43"/>
      <c r="R35" s="41" t="n">
        <f aca="false">IFERROR(Q35/C35,0)</f>
        <v>0</v>
      </c>
    </row>
    <row r="36" customFormat="false" ht="15" hidden="false" customHeight="true" outlineLevel="0" collapsed="false">
      <c r="A36" s="29" t="n">
        <f aca="false">A35+1</f>
        <v>46203</v>
      </c>
      <c r="B36" s="30" t="n">
        <f aca="false">IFERROR(WEEKNUM(A36,21),"")</f>
        <v>27</v>
      </c>
      <c r="C36" s="38"/>
      <c r="D36" s="31"/>
      <c r="E36" s="39" t="n">
        <f aca="false">IFERROR(C36/D36*1000,0)</f>
        <v>0</v>
      </c>
      <c r="F36" s="31"/>
      <c r="G36" s="39" t="n">
        <f aca="false">IFERROR(C36/F36,0)</f>
        <v>0</v>
      </c>
      <c r="H36" s="31"/>
      <c r="I36" s="31"/>
      <c r="J36" s="39" t="n">
        <f aca="false">IFERROR(C36/I36,0)</f>
        <v>0</v>
      </c>
      <c r="K36" s="31"/>
      <c r="L36" s="31"/>
      <c r="M36" s="40" t="n">
        <f aca="false">IFERROR(L36/K36,0)</f>
        <v>0</v>
      </c>
      <c r="N36" s="31"/>
      <c r="O36" s="40" t="n">
        <f aca="false">IFERROR(N36/L36,0)</f>
        <v>0</v>
      </c>
      <c r="P36" s="39" t="n">
        <f aca="false">IFERROR(C36/N36,0)</f>
        <v>0</v>
      </c>
      <c r="Q36" s="43"/>
      <c r="R36" s="41" t="n">
        <f aca="false">IFERROR(Q36/C36,0)</f>
        <v>0</v>
      </c>
    </row>
    <row r="37" customFormat="false" ht="15" hidden="false" customHeight="true" outlineLevel="0" collapsed="false">
      <c r="A37" s="29" t="n">
        <f aca="false">A36+1</f>
        <v>46204</v>
      </c>
      <c r="B37" s="30" t="n">
        <f aca="false">IFERROR(WEEKNUM(A37,21),"")</f>
        <v>27</v>
      </c>
      <c r="C37" s="38"/>
      <c r="D37" s="31"/>
      <c r="E37" s="39" t="n">
        <f aca="false">IFERROR(C37/D37*1000,0)</f>
        <v>0</v>
      </c>
      <c r="F37" s="31"/>
      <c r="G37" s="39" t="n">
        <f aca="false">IFERROR(C37/F37,0)</f>
        <v>0</v>
      </c>
      <c r="H37" s="31"/>
      <c r="I37" s="31"/>
      <c r="J37" s="39" t="n">
        <f aca="false">IFERROR(C37/I37,0)</f>
        <v>0</v>
      </c>
      <c r="K37" s="31"/>
      <c r="L37" s="31"/>
      <c r="M37" s="40" t="n">
        <f aca="false">IFERROR(L37/K37,0)</f>
        <v>0</v>
      </c>
      <c r="N37" s="31"/>
      <c r="O37" s="40" t="n">
        <f aca="false">IFERROR(N37/L37,0)</f>
        <v>0</v>
      </c>
      <c r="P37" s="39" t="n">
        <f aca="false">IFERROR(C37/N37,0)</f>
        <v>0</v>
      </c>
      <c r="Q37" s="43"/>
      <c r="R37" s="41" t="n">
        <f aca="false">IFERROR(Q37/C37,0)</f>
        <v>0</v>
      </c>
    </row>
    <row r="39" customFormat="false" ht="27.75" hidden="false" customHeight="true" outlineLevel="0" collapsed="false">
      <c r="A39" s="33" t="s">
        <v>43</v>
      </c>
      <c r="B39" s="33"/>
      <c r="C39" s="33"/>
      <c r="D39" s="33"/>
      <c r="E39" s="33"/>
      <c r="F39" s="33"/>
      <c r="G39" s="33"/>
      <c r="H39" s="33"/>
    </row>
    <row r="40" customFormat="false" ht="15" hidden="false" customHeight="true" outlineLevel="0" collapsed="false">
      <c r="A40" s="34" t="s">
        <v>44</v>
      </c>
      <c r="B40" s="34"/>
      <c r="C40" s="34"/>
      <c r="D40" s="34"/>
      <c r="E40" s="34"/>
      <c r="F40" s="34"/>
      <c r="G40" s="34"/>
      <c r="H40" s="34"/>
    </row>
  </sheetData>
  <mergeCells count="5">
    <mergeCell ref="A1:R1"/>
    <mergeCell ref="A2:R2"/>
    <mergeCell ref="C3:R3"/>
    <mergeCell ref="A39:H39"/>
    <mergeCell ref="A40:H40"/>
  </mergeCells>
  <hyperlinks>
    <hyperlink ref="A39" r:id="rId1" display="Zu viele Zahlen? Genau dafür ist das Strategiegespräch — wir werten es mit dir aus und bauen den automatisierten Funnel.  📅 Jetzt buchen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6"/>
    <col collapsed="false" customWidth="true" hidden="false" outlineLevel="0" max="4" min="3" style="1" width="11"/>
    <col collapsed="false" customWidth="true" hidden="false" outlineLevel="0" max="13" min="5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7"/>
    <col collapsed="false" customWidth="true" hidden="false" outlineLevel="0" max="17" min="17" style="1" width="10"/>
    <col collapsed="false" customWidth="true" hidden="false" outlineLevel="0" max="18" min="18" style="1" width="11"/>
    <col collapsed="false" customWidth="true" hidden="false" outlineLevel="0" max="19" min="19" style="1" width="8"/>
  </cols>
  <sheetData>
    <row r="1" customFormat="false" ht="30" hidden="false" customHeight="true" outlineLevel="0" collapsed="false">
      <c r="A1" s="19" t="s">
        <v>71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</row>
    <row r="2" customFormat="false" ht="15" hidden="false" customHeight="true" outlineLevel="0" collapsed="false">
      <c r="A2" s="20" t="s">
        <v>72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</row>
    <row r="3" customFormat="false" ht="26.25" hidden="false" customHeight="true" outlineLevel="0" collapsed="false">
      <c r="A3" s="21" t="s">
        <v>32</v>
      </c>
      <c r="B3" s="22" t="n">
        <v>46174</v>
      </c>
      <c r="C3" s="23" t="s">
        <v>33</v>
      </c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</row>
    <row r="5" customFormat="false" ht="15" hidden="false" customHeight="true" outlineLevel="0" collapsed="false">
      <c r="A5" s="24" t="s">
        <v>34</v>
      </c>
      <c r="B5" s="25"/>
      <c r="C5" s="35" t="n">
        <f aca="false">SUM(C7:C37)</f>
        <v>360</v>
      </c>
      <c r="D5" s="26" t="n">
        <f aca="false">SUM(D7:D37)</f>
        <v>32800</v>
      </c>
      <c r="E5" s="35" t="n">
        <f aca="false">IFERROR(C5/D5*1000,0)</f>
        <v>10.9756097560976</v>
      </c>
      <c r="F5" s="26" t="n">
        <f aca="false">SUM(F7:F37)</f>
        <v>455</v>
      </c>
      <c r="G5" s="35" t="n">
        <f aca="false">IFERROR(C5/F5,0)</f>
        <v>0.791208791208791</v>
      </c>
      <c r="H5" s="26" t="n">
        <f aca="false">SUM(H7:H37)</f>
        <v>423</v>
      </c>
      <c r="I5" s="26" t="n">
        <f aca="false">SUM(I7:I37)</f>
        <v>130</v>
      </c>
      <c r="J5" s="35" t="n">
        <f aca="false">IFERROR(C5/I5,0)</f>
        <v>2.76923076923077</v>
      </c>
      <c r="K5" s="36" t="n">
        <f aca="false">IFERROR(I5/H5,0)</f>
        <v>0.307328605200946</v>
      </c>
      <c r="L5" s="26" t="n">
        <f aca="false">SUM(L7:L37)</f>
        <v>56</v>
      </c>
      <c r="M5" s="36" t="n">
        <f aca="false">IFERROR(L5/I5,0)</f>
        <v>0.430769230769231</v>
      </c>
      <c r="N5" s="26" t="n">
        <f aca="false">SUM(N7:N37)</f>
        <v>17</v>
      </c>
      <c r="O5" s="26" t="n">
        <f aca="false">SUM(O7:O37)</f>
        <v>10</v>
      </c>
      <c r="P5" s="26" t="n">
        <f aca="false">SUM(P7:P37)</f>
        <v>3</v>
      </c>
      <c r="Q5" s="35" t="n">
        <f aca="false">IFERROR(C5/P5,0)</f>
        <v>120</v>
      </c>
      <c r="R5" s="42" t="n">
        <f aca="false">SUM(R7:R37)</f>
        <v>5991</v>
      </c>
      <c r="S5" s="37" t="n">
        <f aca="false">IFERROR(R5/C5,0)</f>
        <v>16.6416666666667</v>
      </c>
    </row>
    <row r="6" customFormat="false" ht="30" hidden="false" customHeight="true" outlineLevel="0" collapsed="false">
      <c r="A6" s="28" t="s">
        <v>35</v>
      </c>
      <c r="B6" s="28" t="s">
        <v>36</v>
      </c>
      <c r="C6" s="28" t="s">
        <v>47</v>
      </c>
      <c r="D6" s="28" t="s">
        <v>48</v>
      </c>
      <c r="E6" s="28" t="s">
        <v>49</v>
      </c>
      <c r="F6" s="28" t="s">
        <v>50</v>
      </c>
      <c r="G6" s="28" t="s">
        <v>51</v>
      </c>
      <c r="H6" s="28" t="s">
        <v>52</v>
      </c>
      <c r="I6" s="28" t="s">
        <v>73</v>
      </c>
      <c r="J6" s="28" t="s">
        <v>54</v>
      </c>
      <c r="K6" s="28" t="s">
        <v>74</v>
      </c>
      <c r="L6" s="28" t="s">
        <v>75</v>
      </c>
      <c r="M6" s="28" t="s">
        <v>67</v>
      </c>
      <c r="N6" s="28" t="s">
        <v>76</v>
      </c>
      <c r="O6" s="28" t="s">
        <v>77</v>
      </c>
      <c r="P6" s="28" t="s">
        <v>57</v>
      </c>
      <c r="Q6" s="28" t="s">
        <v>78</v>
      </c>
      <c r="R6" s="28" t="s">
        <v>58</v>
      </c>
      <c r="S6" s="28" t="s">
        <v>60</v>
      </c>
    </row>
    <row r="7" customFormat="false" ht="15" hidden="false" customHeight="true" outlineLevel="0" collapsed="false">
      <c r="A7" s="29" t="n">
        <f aca="false">$B$3</f>
        <v>46174</v>
      </c>
      <c r="B7" s="30" t="n">
        <f aca="false">IFERROR(WEEKNUM(A7,21),"")</f>
        <v>23</v>
      </c>
      <c r="C7" s="38" t="n">
        <v>55</v>
      </c>
      <c r="D7" s="31" t="n">
        <v>5000</v>
      </c>
      <c r="E7" s="39" t="n">
        <f aca="false">IFERROR(C7/D7*1000,0)</f>
        <v>11</v>
      </c>
      <c r="F7" s="31" t="n">
        <v>70</v>
      </c>
      <c r="G7" s="39" t="n">
        <f aca="false">IFERROR(C7/F7,0)</f>
        <v>0.785714285714286</v>
      </c>
      <c r="H7" s="31" t="n">
        <v>66</v>
      </c>
      <c r="I7" s="31" t="n">
        <v>22</v>
      </c>
      <c r="J7" s="39" t="n">
        <f aca="false">IFERROR(C7/I7,0)</f>
        <v>2.5</v>
      </c>
      <c r="K7" s="40" t="n">
        <f aca="false">IFERROR(I7/H7,0)</f>
        <v>0.333333333333333</v>
      </c>
      <c r="L7" s="31" t="n">
        <v>9</v>
      </c>
      <c r="M7" s="40" t="n">
        <f aca="false">IFERROR(L7/I7,0)</f>
        <v>0.409090909090909</v>
      </c>
      <c r="N7" s="31" t="n">
        <v>3</v>
      </c>
      <c r="O7" s="31" t="n">
        <v>2</v>
      </c>
      <c r="P7" s="31" t="n">
        <v>1</v>
      </c>
      <c r="Q7" s="39" t="n">
        <f aca="false">IFERROR(C7/P7,0)</f>
        <v>55</v>
      </c>
      <c r="R7" s="43" t="n">
        <v>1997</v>
      </c>
      <c r="S7" s="41" t="n">
        <f aca="false">IFERROR(R7/C7,0)</f>
        <v>36.3090909090909</v>
      </c>
    </row>
    <row r="8" customFormat="false" ht="15" hidden="false" customHeight="true" outlineLevel="0" collapsed="false">
      <c r="A8" s="29" t="n">
        <f aca="false">A7+1</f>
        <v>46175</v>
      </c>
      <c r="B8" s="30" t="n">
        <f aca="false">IFERROR(WEEKNUM(A8,21),"")</f>
        <v>23</v>
      </c>
      <c r="C8" s="38" t="n">
        <v>48</v>
      </c>
      <c r="D8" s="31" t="n">
        <v>4400</v>
      </c>
      <c r="E8" s="39" t="n">
        <f aca="false">IFERROR(C8/D8*1000,0)</f>
        <v>10.9090909090909</v>
      </c>
      <c r="F8" s="31" t="n">
        <v>60</v>
      </c>
      <c r="G8" s="39" t="n">
        <f aca="false">IFERROR(C8/F8,0)</f>
        <v>0.8</v>
      </c>
      <c r="H8" s="31" t="n">
        <v>55</v>
      </c>
      <c r="I8" s="31" t="n">
        <v>18</v>
      </c>
      <c r="J8" s="39" t="n">
        <f aca="false">IFERROR(C8/I8,0)</f>
        <v>2.66666666666667</v>
      </c>
      <c r="K8" s="40" t="n">
        <f aca="false">IFERROR(I8/H8,0)</f>
        <v>0.327272727272727</v>
      </c>
      <c r="L8" s="31" t="n">
        <v>7</v>
      </c>
      <c r="M8" s="40" t="n">
        <f aca="false">IFERROR(L8/I8,0)</f>
        <v>0.388888888888889</v>
      </c>
      <c r="N8" s="31" t="n">
        <v>2</v>
      </c>
      <c r="O8" s="31" t="n">
        <v>1</v>
      </c>
      <c r="P8" s="31" t="n">
        <v>0</v>
      </c>
      <c r="Q8" s="39" t="n">
        <f aca="false">IFERROR(C8/P8,0)</f>
        <v>0</v>
      </c>
      <c r="R8" s="43" t="n">
        <v>0</v>
      </c>
      <c r="S8" s="41" t="n">
        <f aca="false">IFERROR(R8/C8,0)</f>
        <v>0</v>
      </c>
    </row>
    <row r="9" customFormat="false" ht="15" hidden="false" customHeight="true" outlineLevel="0" collapsed="false">
      <c r="A9" s="29" t="n">
        <f aca="false">A8+1</f>
        <v>46176</v>
      </c>
      <c r="B9" s="30" t="n">
        <f aca="false">IFERROR(WEEKNUM(A9,21),"")</f>
        <v>23</v>
      </c>
      <c r="C9" s="38" t="n">
        <v>62</v>
      </c>
      <c r="D9" s="31" t="n">
        <v>5800</v>
      </c>
      <c r="E9" s="39" t="n">
        <f aca="false">IFERROR(C9/D9*1000,0)</f>
        <v>10.6896551724138</v>
      </c>
      <c r="F9" s="31" t="n">
        <v>82</v>
      </c>
      <c r="G9" s="39" t="n">
        <f aca="false">IFERROR(C9/F9,0)</f>
        <v>0.75609756097561</v>
      </c>
      <c r="H9" s="31" t="n">
        <v>78</v>
      </c>
      <c r="I9" s="31" t="n">
        <v>25</v>
      </c>
      <c r="J9" s="39" t="n">
        <f aca="false">IFERROR(C9/I9,0)</f>
        <v>2.48</v>
      </c>
      <c r="K9" s="40" t="n">
        <f aca="false">IFERROR(I9/H9,0)</f>
        <v>0.320512820512821</v>
      </c>
      <c r="L9" s="31" t="n">
        <v>12</v>
      </c>
      <c r="M9" s="40" t="n">
        <f aca="false">IFERROR(L9/I9,0)</f>
        <v>0.48</v>
      </c>
      <c r="N9" s="31" t="n">
        <v>4</v>
      </c>
      <c r="O9" s="31" t="n">
        <v>2</v>
      </c>
      <c r="P9" s="31" t="n">
        <v>1</v>
      </c>
      <c r="Q9" s="39" t="n">
        <f aca="false">IFERROR(C9/P9,0)</f>
        <v>62</v>
      </c>
      <c r="R9" s="43" t="n">
        <v>1997</v>
      </c>
      <c r="S9" s="41" t="n">
        <f aca="false">IFERROR(R9/C9,0)</f>
        <v>32.2096774193548</v>
      </c>
    </row>
    <row r="10" customFormat="false" ht="15" hidden="false" customHeight="true" outlineLevel="0" collapsed="false">
      <c r="A10" s="29" t="n">
        <f aca="false">A9+1</f>
        <v>46177</v>
      </c>
      <c r="B10" s="30" t="n">
        <f aca="false">IFERROR(WEEKNUM(A10,21),"")</f>
        <v>23</v>
      </c>
      <c r="C10" s="38" t="n">
        <v>45</v>
      </c>
      <c r="D10" s="31" t="n">
        <v>4000</v>
      </c>
      <c r="E10" s="39" t="n">
        <f aca="false">IFERROR(C10/D10*1000,0)</f>
        <v>11.25</v>
      </c>
      <c r="F10" s="31" t="n">
        <v>54</v>
      </c>
      <c r="G10" s="39" t="n">
        <f aca="false">IFERROR(C10/F10,0)</f>
        <v>0.833333333333333</v>
      </c>
      <c r="H10" s="31" t="n">
        <v>50</v>
      </c>
      <c r="I10" s="31" t="n">
        <v>15</v>
      </c>
      <c r="J10" s="39" t="n">
        <f aca="false">IFERROR(C10/I10,0)</f>
        <v>3</v>
      </c>
      <c r="K10" s="40" t="n">
        <f aca="false">IFERROR(I10/H10,0)</f>
        <v>0.3</v>
      </c>
      <c r="L10" s="31" t="n">
        <v>6</v>
      </c>
      <c r="M10" s="40" t="n">
        <f aca="false">IFERROR(L10/I10,0)</f>
        <v>0.4</v>
      </c>
      <c r="N10" s="31" t="n">
        <v>2</v>
      </c>
      <c r="O10" s="31" t="n">
        <v>1</v>
      </c>
      <c r="P10" s="31" t="n">
        <v>0</v>
      </c>
      <c r="Q10" s="39" t="n">
        <f aca="false">IFERROR(C10/P10,0)</f>
        <v>0</v>
      </c>
      <c r="R10" s="43" t="n">
        <v>0</v>
      </c>
      <c r="S10" s="41" t="n">
        <f aca="false">IFERROR(R10/C10,0)</f>
        <v>0</v>
      </c>
    </row>
    <row r="11" customFormat="false" ht="15" hidden="false" customHeight="true" outlineLevel="0" collapsed="false">
      <c r="A11" s="29" t="n">
        <f aca="false">A10+1</f>
        <v>46178</v>
      </c>
      <c r="B11" s="30" t="n">
        <f aca="false">IFERROR(WEEKNUM(A11,21),"")</f>
        <v>23</v>
      </c>
      <c r="C11" s="38" t="n">
        <v>58</v>
      </c>
      <c r="D11" s="31" t="n">
        <v>5300</v>
      </c>
      <c r="E11" s="39" t="n">
        <f aca="false">IFERROR(C11/D11*1000,0)</f>
        <v>10.9433962264151</v>
      </c>
      <c r="F11" s="31" t="n">
        <v>75</v>
      </c>
      <c r="G11" s="39" t="n">
        <f aca="false">IFERROR(C11/F11,0)</f>
        <v>0.773333333333333</v>
      </c>
      <c r="H11" s="31" t="n">
        <v>70</v>
      </c>
      <c r="I11" s="31" t="n">
        <v>21</v>
      </c>
      <c r="J11" s="39" t="n">
        <f aca="false">IFERROR(C11/I11,0)</f>
        <v>2.76190476190476</v>
      </c>
      <c r="K11" s="40" t="n">
        <f aca="false">IFERROR(I11/H11,0)</f>
        <v>0.3</v>
      </c>
      <c r="L11" s="31" t="n">
        <v>10</v>
      </c>
      <c r="M11" s="40" t="n">
        <f aca="false">IFERROR(L11/I11,0)</f>
        <v>0.476190476190476</v>
      </c>
      <c r="N11" s="31" t="n">
        <v>3</v>
      </c>
      <c r="O11" s="31" t="n">
        <v>2</v>
      </c>
      <c r="P11" s="31" t="n">
        <v>1</v>
      </c>
      <c r="Q11" s="39" t="n">
        <f aca="false">IFERROR(C11/P11,0)</f>
        <v>58</v>
      </c>
      <c r="R11" s="43" t="n">
        <v>1997</v>
      </c>
      <c r="S11" s="41" t="n">
        <f aca="false">IFERROR(R11/C11,0)</f>
        <v>34.4310344827586</v>
      </c>
    </row>
    <row r="12" customFormat="false" ht="15" hidden="false" customHeight="true" outlineLevel="0" collapsed="false">
      <c r="A12" s="29" t="n">
        <f aca="false">A11+1</f>
        <v>46179</v>
      </c>
      <c r="B12" s="30" t="n">
        <f aca="false">IFERROR(WEEKNUM(A12,21),"")</f>
        <v>23</v>
      </c>
      <c r="C12" s="38" t="n">
        <v>40</v>
      </c>
      <c r="D12" s="31" t="n">
        <v>3600</v>
      </c>
      <c r="E12" s="39" t="n">
        <f aca="false">IFERROR(C12/D12*1000,0)</f>
        <v>11.1111111111111</v>
      </c>
      <c r="F12" s="31" t="n">
        <v>48</v>
      </c>
      <c r="G12" s="39" t="n">
        <f aca="false">IFERROR(C12/F12,0)</f>
        <v>0.833333333333333</v>
      </c>
      <c r="H12" s="31" t="n">
        <v>44</v>
      </c>
      <c r="I12" s="31" t="n">
        <v>12</v>
      </c>
      <c r="J12" s="39" t="n">
        <f aca="false">IFERROR(C12/I12,0)</f>
        <v>3.33333333333333</v>
      </c>
      <c r="K12" s="40" t="n">
        <f aca="false">IFERROR(I12/H12,0)</f>
        <v>0.272727272727273</v>
      </c>
      <c r="L12" s="31" t="n">
        <v>4</v>
      </c>
      <c r="M12" s="40" t="n">
        <f aca="false">IFERROR(L12/I12,0)</f>
        <v>0.333333333333333</v>
      </c>
      <c r="N12" s="31" t="n">
        <v>1</v>
      </c>
      <c r="O12" s="31" t="n">
        <v>1</v>
      </c>
      <c r="P12" s="31" t="n">
        <v>0</v>
      </c>
      <c r="Q12" s="39" t="n">
        <f aca="false">IFERROR(C12/P12,0)</f>
        <v>0</v>
      </c>
      <c r="R12" s="43" t="n">
        <v>0</v>
      </c>
      <c r="S12" s="41" t="n">
        <f aca="false">IFERROR(R12/C12,0)</f>
        <v>0</v>
      </c>
    </row>
    <row r="13" customFormat="false" ht="15" hidden="false" customHeight="true" outlineLevel="0" collapsed="false">
      <c r="A13" s="29" t="n">
        <f aca="false">A12+1</f>
        <v>46180</v>
      </c>
      <c r="B13" s="30" t="n">
        <f aca="false">IFERROR(WEEKNUM(A13,21),"")</f>
        <v>23</v>
      </c>
      <c r="C13" s="38" t="n">
        <v>52</v>
      </c>
      <c r="D13" s="31" t="n">
        <v>4700</v>
      </c>
      <c r="E13" s="39" t="n">
        <f aca="false">IFERROR(C13/D13*1000,0)</f>
        <v>11.063829787234</v>
      </c>
      <c r="F13" s="31" t="n">
        <v>66</v>
      </c>
      <c r="G13" s="39" t="n">
        <f aca="false">IFERROR(C13/F13,0)</f>
        <v>0.787878787878788</v>
      </c>
      <c r="H13" s="31" t="n">
        <v>60</v>
      </c>
      <c r="I13" s="31" t="n">
        <v>17</v>
      </c>
      <c r="J13" s="39" t="n">
        <f aca="false">IFERROR(C13/I13,0)</f>
        <v>3.05882352941176</v>
      </c>
      <c r="K13" s="40" t="n">
        <f aca="false">IFERROR(I13/H13,0)</f>
        <v>0.283333333333333</v>
      </c>
      <c r="L13" s="31" t="n">
        <v>8</v>
      </c>
      <c r="M13" s="40" t="n">
        <f aca="false">IFERROR(L13/I13,0)</f>
        <v>0.470588235294118</v>
      </c>
      <c r="N13" s="31" t="n">
        <v>2</v>
      </c>
      <c r="O13" s="31" t="n">
        <v>1</v>
      </c>
      <c r="P13" s="31" t="n">
        <v>0</v>
      </c>
      <c r="Q13" s="39" t="n">
        <f aca="false">IFERROR(C13/P13,0)</f>
        <v>0</v>
      </c>
      <c r="R13" s="43" t="n">
        <v>0</v>
      </c>
      <c r="S13" s="41" t="n">
        <f aca="false">IFERROR(R13/C13,0)</f>
        <v>0</v>
      </c>
    </row>
    <row r="14" customFormat="false" ht="15" hidden="false" customHeight="true" outlineLevel="0" collapsed="false">
      <c r="A14" s="29" t="n">
        <f aca="false">A13+1</f>
        <v>46181</v>
      </c>
      <c r="B14" s="30" t="n">
        <f aca="false">IFERROR(WEEKNUM(A14,21),"")</f>
        <v>24</v>
      </c>
      <c r="C14" s="38"/>
      <c r="D14" s="31"/>
      <c r="E14" s="39" t="n">
        <f aca="false">IFERROR(C14/D14*1000,0)</f>
        <v>0</v>
      </c>
      <c r="F14" s="31"/>
      <c r="G14" s="39" t="n">
        <f aca="false">IFERROR(C14/F14,0)</f>
        <v>0</v>
      </c>
      <c r="H14" s="31"/>
      <c r="I14" s="31"/>
      <c r="J14" s="39" t="n">
        <f aca="false">IFERROR(C14/I14,0)</f>
        <v>0</v>
      </c>
      <c r="K14" s="40" t="n">
        <f aca="false">IFERROR(I14/H14,0)</f>
        <v>0</v>
      </c>
      <c r="L14" s="31"/>
      <c r="M14" s="40" t="n">
        <f aca="false">IFERROR(L14/I14,0)</f>
        <v>0</v>
      </c>
      <c r="N14" s="31"/>
      <c r="O14" s="31"/>
      <c r="P14" s="31"/>
      <c r="Q14" s="39" t="n">
        <f aca="false">IFERROR(C14/P14,0)</f>
        <v>0</v>
      </c>
      <c r="R14" s="43"/>
      <c r="S14" s="41" t="n">
        <f aca="false">IFERROR(R14/C14,0)</f>
        <v>0</v>
      </c>
    </row>
    <row r="15" customFormat="false" ht="15" hidden="false" customHeight="true" outlineLevel="0" collapsed="false">
      <c r="A15" s="29" t="n">
        <f aca="false">A14+1</f>
        <v>46182</v>
      </c>
      <c r="B15" s="30" t="n">
        <f aca="false">IFERROR(WEEKNUM(A15,21),"")</f>
        <v>24</v>
      </c>
      <c r="C15" s="38"/>
      <c r="D15" s="31"/>
      <c r="E15" s="39" t="n">
        <f aca="false">IFERROR(C15/D15*1000,0)</f>
        <v>0</v>
      </c>
      <c r="F15" s="31"/>
      <c r="G15" s="39" t="n">
        <f aca="false">IFERROR(C15/F15,0)</f>
        <v>0</v>
      </c>
      <c r="H15" s="31"/>
      <c r="I15" s="31"/>
      <c r="J15" s="39" t="n">
        <f aca="false">IFERROR(C15/I15,0)</f>
        <v>0</v>
      </c>
      <c r="K15" s="40" t="n">
        <f aca="false">IFERROR(I15/H15,0)</f>
        <v>0</v>
      </c>
      <c r="L15" s="31"/>
      <c r="M15" s="40" t="n">
        <f aca="false">IFERROR(L15/I15,0)</f>
        <v>0</v>
      </c>
      <c r="N15" s="31"/>
      <c r="O15" s="31"/>
      <c r="P15" s="31"/>
      <c r="Q15" s="39" t="n">
        <f aca="false">IFERROR(C15/P15,0)</f>
        <v>0</v>
      </c>
      <c r="R15" s="43"/>
      <c r="S15" s="41" t="n">
        <f aca="false">IFERROR(R15/C15,0)</f>
        <v>0</v>
      </c>
    </row>
    <row r="16" customFormat="false" ht="15" hidden="false" customHeight="true" outlineLevel="0" collapsed="false">
      <c r="A16" s="29" t="n">
        <f aca="false">A15+1</f>
        <v>46183</v>
      </c>
      <c r="B16" s="30" t="n">
        <f aca="false">IFERROR(WEEKNUM(A16,21),"")</f>
        <v>24</v>
      </c>
      <c r="C16" s="38"/>
      <c r="D16" s="31"/>
      <c r="E16" s="39" t="n">
        <f aca="false">IFERROR(C16/D16*1000,0)</f>
        <v>0</v>
      </c>
      <c r="F16" s="31"/>
      <c r="G16" s="39" t="n">
        <f aca="false">IFERROR(C16/F16,0)</f>
        <v>0</v>
      </c>
      <c r="H16" s="31"/>
      <c r="I16" s="31"/>
      <c r="J16" s="39" t="n">
        <f aca="false">IFERROR(C16/I16,0)</f>
        <v>0</v>
      </c>
      <c r="K16" s="40" t="n">
        <f aca="false">IFERROR(I16/H16,0)</f>
        <v>0</v>
      </c>
      <c r="L16" s="31"/>
      <c r="M16" s="40" t="n">
        <f aca="false">IFERROR(L16/I16,0)</f>
        <v>0</v>
      </c>
      <c r="N16" s="31"/>
      <c r="O16" s="31"/>
      <c r="P16" s="31"/>
      <c r="Q16" s="39" t="n">
        <f aca="false">IFERROR(C16/P16,0)</f>
        <v>0</v>
      </c>
      <c r="R16" s="43"/>
      <c r="S16" s="41" t="n">
        <f aca="false">IFERROR(R16/C16,0)</f>
        <v>0</v>
      </c>
    </row>
    <row r="17" customFormat="false" ht="15" hidden="false" customHeight="true" outlineLevel="0" collapsed="false">
      <c r="A17" s="29" t="n">
        <f aca="false">A16+1</f>
        <v>46184</v>
      </c>
      <c r="B17" s="30" t="n">
        <f aca="false">IFERROR(WEEKNUM(A17,21),"")</f>
        <v>24</v>
      </c>
      <c r="C17" s="38"/>
      <c r="D17" s="31"/>
      <c r="E17" s="39" t="n">
        <f aca="false">IFERROR(C17/D17*1000,0)</f>
        <v>0</v>
      </c>
      <c r="F17" s="31"/>
      <c r="G17" s="39" t="n">
        <f aca="false">IFERROR(C17/F17,0)</f>
        <v>0</v>
      </c>
      <c r="H17" s="31"/>
      <c r="I17" s="31"/>
      <c r="J17" s="39" t="n">
        <f aca="false">IFERROR(C17/I17,0)</f>
        <v>0</v>
      </c>
      <c r="K17" s="40" t="n">
        <f aca="false">IFERROR(I17/H17,0)</f>
        <v>0</v>
      </c>
      <c r="L17" s="31"/>
      <c r="M17" s="40" t="n">
        <f aca="false">IFERROR(L17/I17,0)</f>
        <v>0</v>
      </c>
      <c r="N17" s="31"/>
      <c r="O17" s="31"/>
      <c r="P17" s="31"/>
      <c r="Q17" s="39" t="n">
        <f aca="false">IFERROR(C17/P17,0)</f>
        <v>0</v>
      </c>
      <c r="R17" s="43"/>
      <c r="S17" s="41" t="n">
        <f aca="false">IFERROR(R17/C17,0)</f>
        <v>0</v>
      </c>
    </row>
    <row r="18" customFormat="false" ht="15" hidden="false" customHeight="true" outlineLevel="0" collapsed="false">
      <c r="A18" s="29" t="n">
        <f aca="false">A17+1</f>
        <v>46185</v>
      </c>
      <c r="B18" s="30" t="n">
        <f aca="false">IFERROR(WEEKNUM(A18,21),"")</f>
        <v>24</v>
      </c>
      <c r="C18" s="38"/>
      <c r="D18" s="31"/>
      <c r="E18" s="39" t="n">
        <f aca="false">IFERROR(C18/D18*1000,0)</f>
        <v>0</v>
      </c>
      <c r="F18" s="31"/>
      <c r="G18" s="39" t="n">
        <f aca="false">IFERROR(C18/F18,0)</f>
        <v>0</v>
      </c>
      <c r="H18" s="31"/>
      <c r="I18" s="31"/>
      <c r="J18" s="39" t="n">
        <f aca="false">IFERROR(C18/I18,0)</f>
        <v>0</v>
      </c>
      <c r="K18" s="40" t="n">
        <f aca="false">IFERROR(I18/H18,0)</f>
        <v>0</v>
      </c>
      <c r="L18" s="31"/>
      <c r="M18" s="40" t="n">
        <f aca="false">IFERROR(L18/I18,0)</f>
        <v>0</v>
      </c>
      <c r="N18" s="31"/>
      <c r="O18" s="31"/>
      <c r="P18" s="31"/>
      <c r="Q18" s="39" t="n">
        <f aca="false">IFERROR(C18/P18,0)</f>
        <v>0</v>
      </c>
      <c r="R18" s="43"/>
      <c r="S18" s="41" t="n">
        <f aca="false">IFERROR(R18/C18,0)</f>
        <v>0</v>
      </c>
    </row>
    <row r="19" customFormat="false" ht="15" hidden="false" customHeight="true" outlineLevel="0" collapsed="false">
      <c r="A19" s="29" t="n">
        <f aca="false">A18+1</f>
        <v>46186</v>
      </c>
      <c r="B19" s="30" t="n">
        <f aca="false">IFERROR(WEEKNUM(A19,21),"")</f>
        <v>24</v>
      </c>
      <c r="C19" s="38"/>
      <c r="D19" s="31"/>
      <c r="E19" s="39" t="n">
        <f aca="false">IFERROR(C19/D19*1000,0)</f>
        <v>0</v>
      </c>
      <c r="F19" s="31"/>
      <c r="G19" s="39" t="n">
        <f aca="false">IFERROR(C19/F19,0)</f>
        <v>0</v>
      </c>
      <c r="H19" s="31"/>
      <c r="I19" s="31"/>
      <c r="J19" s="39" t="n">
        <f aca="false">IFERROR(C19/I19,0)</f>
        <v>0</v>
      </c>
      <c r="K19" s="40" t="n">
        <f aca="false">IFERROR(I19/H19,0)</f>
        <v>0</v>
      </c>
      <c r="L19" s="31"/>
      <c r="M19" s="40" t="n">
        <f aca="false">IFERROR(L19/I19,0)</f>
        <v>0</v>
      </c>
      <c r="N19" s="31"/>
      <c r="O19" s="31"/>
      <c r="P19" s="31"/>
      <c r="Q19" s="39" t="n">
        <f aca="false">IFERROR(C19/P19,0)</f>
        <v>0</v>
      </c>
      <c r="R19" s="43"/>
      <c r="S19" s="41" t="n">
        <f aca="false">IFERROR(R19/C19,0)</f>
        <v>0</v>
      </c>
    </row>
    <row r="20" customFormat="false" ht="15" hidden="false" customHeight="true" outlineLevel="0" collapsed="false">
      <c r="A20" s="29" t="n">
        <f aca="false">A19+1</f>
        <v>46187</v>
      </c>
      <c r="B20" s="30" t="n">
        <f aca="false">IFERROR(WEEKNUM(A20,21),"")</f>
        <v>24</v>
      </c>
      <c r="C20" s="38"/>
      <c r="D20" s="31"/>
      <c r="E20" s="39" t="n">
        <f aca="false">IFERROR(C20/D20*1000,0)</f>
        <v>0</v>
      </c>
      <c r="F20" s="31"/>
      <c r="G20" s="39" t="n">
        <f aca="false">IFERROR(C20/F20,0)</f>
        <v>0</v>
      </c>
      <c r="H20" s="31"/>
      <c r="I20" s="31"/>
      <c r="J20" s="39" t="n">
        <f aca="false">IFERROR(C20/I20,0)</f>
        <v>0</v>
      </c>
      <c r="K20" s="40" t="n">
        <f aca="false">IFERROR(I20/H20,0)</f>
        <v>0</v>
      </c>
      <c r="L20" s="31"/>
      <c r="M20" s="40" t="n">
        <f aca="false">IFERROR(L20/I20,0)</f>
        <v>0</v>
      </c>
      <c r="N20" s="31"/>
      <c r="O20" s="31"/>
      <c r="P20" s="31"/>
      <c r="Q20" s="39" t="n">
        <f aca="false">IFERROR(C20/P20,0)</f>
        <v>0</v>
      </c>
      <c r="R20" s="43"/>
      <c r="S20" s="41" t="n">
        <f aca="false">IFERROR(R20/C20,0)</f>
        <v>0</v>
      </c>
    </row>
    <row r="21" customFormat="false" ht="15" hidden="false" customHeight="true" outlineLevel="0" collapsed="false">
      <c r="A21" s="29" t="n">
        <f aca="false">A20+1</f>
        <v>46188</v>
      </c>
      <c r="B21" s="30" t="n">
        <f aca="false">IFERROR(WEEKNUM(A21,21),"")</f>
        <v>25</v>
      </c>
      <c r="C21" s="38"/>
      <c r="D21" s="31"/>
      <c r="E21" s="39" t="n">
        <f aca="false">IFERROR(C21/D21*1000,0)</f>
        <v>0</v>
      </c>
      <c r="F21" s="31"/>
      <c r="G21" s="39" t="n">
        <f aca="false">IFERROR(C21/F21,0)</f>
        <v>0</v>
      </c>
      <c r="H21" s="31"/>
      <c r="I21" s="31"/>
      <c r="J21" s="39" t="n">
        <f aca="false">IFERROR(C21/I21,0)</f>
        <v>0</v>
      </c>
      <c r="K21" s="40" t="n">
        <f aca="false">IFERROR(I21/H21,0)</f>
        <v>0</v>
      </c>
      <c r="L21" s="31"/>
      <c r="M21" s="40" t="n">
        <f aca="false">IFERROR(L21/I21,0)</f>
        <v>0</v>
      </c>
      <c r="N21" s="31"/>
      <c r="O21" s="31"/>
      <c r="P21" s="31"/>
      <c r="Q21" s="39" t="n">
        <f aca="false">IFERROR(C21/P21,0)</f>
        <v>0</v>
      </c>
      <c r="R21" s="43"/>
      <c r="S21" s="41" t="n">
        <f aca="false">IFERROR(R21/C21,0)</f>
        <v>0</v>
      </c>
    </row>
    <row r="22" customFormat="false" ht="15" hidden="false" customHeight="true" outlineLevel="0" collapsed="false">
      <c r="A22" s="29" t="n">
        <f aca="false">A21+1</f>
        <v>46189</v>
      </c>
      <c r="B22" s="30" t="n">
        <f aca="false">IFERROR(WEEKNUM(A22,21),"")</f>
        <v>25</v>
      </c>
      <c r="C22" s="38"/>
      <c r="D22" s="31"/>
      <c r="E22" s="39" t="n">
        <f aca="false">IFERROR(C22/D22*1000,0)</f>
        <v>0</v>
      </c>
      <c r="F22" s="31"/>
      <c r="G22" s="39" t="n">
        <f aca="false">IFERROR(C22/F22,0)</f>
        <v>0</v>
      </c>
      <c r="H22" s="31"/>
      <c r="I22" s="31"/>
      <c r="J22" s="39" t="n">
        <f aca="false">IFERROR(C22/I22,0)</f>
        <v>0</v>
      </c>
      <c r="K22" s="40" t="n">
        <f aca="false">IFERROR(I22/H22,0)</f>
        <v>0</v>
      </c>
      <c r="L22" s="31"/>
      <c r="M22" s="40" t="n">
        <f aca="false">IFERROR(L22/I22,0)</f>
        <v>0</v>
      </c>
      <c r="N22" s="31"/>
      <c r="O22" s="31"/>
      <c r="P22" s="31"/>
      <c r="Q22" s="39" t="n">
        <f aca="false">IFERROR(C22/P22,0)</f>
        <v>0</v>
      </c>
      <c r="R22" s="43"/>
      <c r="S22" s="41" t="n">
        <f aca="false">IFERROR(R22/C22,0)</f>
        <v>0</v>
      </c>
    </row>
    <row r="23" customFormat="false" ht="15" hidden="false" customHeight="true" outlineLevel="0" collapsed="false">
      <c r="A23" s="29" t="n">
        <f aca="false">A22+1</f>
        <v>46190</v>
      </c>
      <c r="B23" s="30" t="n">
        <f aca="false">IFERROR(WEEKNUM(A23,21),"")</f>
        <v>25</v>
      </c>
      <c r="C23" s="38"/>
      <c r="D23" s="31"/>
      <c r="E23" s="39" t="n">
        <f aca="false">IFERROR(C23/D23*1000,0)</f>
        <v>0</v>
      </c>
      <c r="F23" s="31"/>
      <c r="G23" s="39" t="n">
        <f aca="false">IFERROR(C23/F23,0)</f>
        <v>0</v>
      </c>
      <c r="H23" s="31"/>
      <c r="I23" s="31"/>
      <c r="J23" s="39" t="n">
        <f aca="false">IFERROR(C23/I23,0)</f>
        <v>0</v>
      </c>
      <c r="K23" s="40" t="n">
        <f aca="false">IFERROR(I23/H23,0)</f>
        <v>0</v>
      </c>
      <c r="L23" s="31"/>
      <c r="M23" s="40" t="n">
        <f aca="false">IFERROR(L23/I23,0)</f>
        <v>0</v>
      </c>
      <c r="N23" s="31"/>
      <c r="O23" s="31"/>
      <c r="P23" s="31"/>
      <c r="Q23" s="39" t="n">
        <f aca="false">IFERROR(C23/P23,0)</f>
        <v>0</v>
      </c>
      <c r="R23" s="43"/>
      <c r="S23" s="41" t="n">
        <f aca="false">IFERROR(R23/C23,0)</f>
        <v>0</v>
      </c>
    </row>
    <row r="24" customFormat="false" ht="15" hidden="false" customHeight="true" outlineLevel="0" collapsed="false">
      <c r="A24" s="29" t="n">
        <f aca="false">A23+1</f>
        <v>46191</v>
      </c>
      <c r="B24" s="30" t="n">
        <f aca="false">IFERROR(WEEKNUM(A24,21),"")</f>
        <v>25</v>
      </c>
      <c r="C24" s="38"/>
      <c r="D24" s="31"/>
      <c r="E24" s="39" t="n">
        <f aca="false">IFERROR(C24/D24*1000,0)</f>
        <v>0</v>
      </c>
      <c r="F24" s="31"/>
      <c r="G24" s="39" t="n">
        <f aca="false">IFERROR(C24/F24,0)</f>
        <v>0</v>
      </c>
      <c r="H24" s="31"/>
      <c r="I24" s="31"/>
      <c r="J24" s="39" t="n">
        <f aca="false">IFERROR(C24/I24,0)</f>
        <v>0</v>
      </c>
      <c r="K24" s="40" t="n">
        <f aca="false">IFERROR(I24/H24,0)</f>
        <v>0</v>
      </c>
      <c r="L24" s="31"/>
      <c r="M24" s="40" t="n">
        <f aca="false">IFERROR(L24/I24,0)</f>
        <v>0</v>
      </c>
      <c r="N24" s="31"/>
      <c r="O24" s="31"/>
      <c r="P24" s="31"/>
      <c r="Q24" s="39" t="n">
        <f aca="false">IFERROR(C24/P24,0)</f>
        <v>0</v>
      </c>
      <c r="R24" s="43"/>
      <c r="S24" s="41" t="n">
        <f aca="false">IFERROR(R24/C24,0)</f>
        <v>0</v>
      </c>
    </row>
    <row r="25" customFormat="false" ht="15" hidden="false" customHeight="true" outlineLevel="0" collapsed="false">
      <c r="A25" s="29" t="n">
        <f aca="false">A24+1</f>
        <v>46192</v>
      </c>
      <c r="B25" s="30" t="n">
        <f aca="false">IFERROR(WEEKNUM(A25,21),"")</f>
        <v>25</v>
      </c>
      <c r="C25" s="38"/>
      <c r="D25" s="31"/>
      <c r="E25" s="39" t="n">
        <f aca="false">IFERROR(C25/D25*1000,0)</f>
        <v>0</v>
      </c>
      <c r="F25" s="31"/>
      <c r="G25" s="39" t="n">
        <f aca="false">IFERROR(C25/F25,0)</f>
        <v>0</v>
      </c>
      <c r="H25" s="31"/>
      <c r="I25" s="31"/>
      <c r="J25" s="39" t="n">
        <f aca="false">IFERROR(C25/I25,0)</f>
        <v>0</v>
      </c>
      <c r="K25" s="40" t="n">
        <f aca="false">IFERROR(I25/H25,0)</f>
        <v>0</v>
      </c>
      <c r="L25" s="31"/>
      <c r="M25" s="40" t="n">
        <f aca="false">IFERROR(L25/I25,0)</f>
        <v>0</v>
      </c>
      <c r="N25" s="31"/>
      <c r="O25" s="31"/>
      <c r="P25" s="31"/>
      <c r="Q25" s="39" t="n">
        <f aca="false">IFERROR(C25/P25,0)</f>
        <v>0</v>
      </c>
      <c r="R25" s="43"/>
      <c r="S25" s="41" t="n">
        <f aca="false">IFERROR(R25/C25,0)</f>
        <v>0</v>
      </c>
    </row>
    <row r="26" customFormat="false" ht="15" hidden="false" customHeight="true" outlineLevel="0" collapsed="false">
      <c r="A26" s="29" t="n">
        <f aca="false">A25+1</f>
        <v>46193</v>
      </c>
      <c r="B26" s="30" t="n">
        <f aca="false">IFERROR(WEEKNUM(A26,21),"")</f>
        <v>25</v>
      </c>
      <c r="C26" s="38"/>
      <c r="D26" s="31"/>
      <c r="E26" s="39" t="n">
        <f aca="false">IFERROR(C26/D26*1000,0)</f>
        <v>0</v>
      </c>
      <c r="F26" s="31"/>
      <c r="G26" s="39" t="n">
        <f aca="false">IFERROR(C26/F26,0)</f>
        <v>0</v>
      </c>
      <c r="H26" s="31"/>
      <c r="I26" s="31"/>
      <c r="J26" s="39" t="n">
        <f aca="false">IFERROR(C26/I26,0)</f>
        <v>0</v>
      </c>
      <c r="K26" s="40" t="n">
        <f aca="false">IFERROR(I26/H26,0)</f>
        <v>0</v>
      </c>
      <c r="L26" s="31"/>
      <c r="M26" s="40" t="n">
        <f aca="false">IFERROR(L26/I26,0)</f>
        <v>0</v>
      </c>
      <c r="N26" s="31"/>
      <c r="O26" s="31"/>
      <c r="P26" s="31"/>
      <c r="Q26" s="39" t="n">
        <f aca="false">IFERROR(C26/P26,0)</f>
        <v>0</v>
      </c>
      <c r="R26" s="43"/>
      <c r="S26" s="41" t="n">
        <f aca="false">IFERROR(R26/C26,0)</f>
        <v>0</v>
      </c>
    </row>
    <row r="27" customFormat="false" ht="15" hidden="false" customHeight="true" outlineLevel="0" collapsed="false">
      <c r="A27" s="29" t="n">
        <f aca="false">A26+1</f>
        <v>46194</v>
      </c>
      <c r="B27" s="30" t="n">
        <f aca="false">IFERROR(WEEKNUM(A27,21),"")</f>
        <v>25</v>
      </c>
      <c r="C27" s="38"/>
      <c r="D27" s="31"/>
      <c r="E27" s="39" t="n">
        <f aca="false">IFERROR(C27/D27*1000,0)</f>
        <v>0</v>
      </c>
      <c r="F27" s="31"/>
      <c r="G27" s="39" t="n">
        <f aca="false">IFERROR(C27/F27,0)</f>
        <v>0</v>
      </c>
      <c r="H27" s="31"/>
      <c r="I27" s="31"/>
      <c r="J27" s="39" t="n">
        <f aca="false">IFERROR(C27/I27,0)</f>
        <v>0</v>
      </c>
      <c r="K27" s="40" t="n">
        <f aca="false">IFERROR(I27/H27,0)</f>
        <v>0</v>
      </c>
      <c r="L27" s="31"/>
      <c r="M27" s="40" t="n">
        <f aca="false">IFERROR(L27/I27,0)</f>
        <v>0</v>
      </c>
      <c r="N27" s="31"/>
      <c r="O27" s="31"/>
      <c r="P27" s="31"/>
      <c r="Q27" s="39" t="n">
        <f aca="false">IFERROR(C27/P27,0)</f>
        <v>0</v>
      </c>
      <c r="R27" s="43"/>
      <c r="S27" s="41" t="n">
        <f aca="false">IFERROR(R27/C27,0)</f>
        <v>0</v>
      </c>
    </row>
    <row r="28" customFormat="false" ht="15" hidden="false" customHeight="true" outlineLevel="0" collapsed="false">
      <c r="A28" s="29" t="n">
        <f aca="false">A27+1</f>
        <v>46195</v>
      </c>
      <c r="B28" s="30" t="n">
        <f aca="false">IFERROR(WEEKNUM(A28,21),"")</f>
        <v>26</v>
      </c>
      <c r="C28" s="38"/>
      <c r="D28" s="31"/>
      <c r="E28" s="39" t="n">
        <f aca="false">IFERROR(C28/D28*1000,0)</f>
        <v>0</v>
      </c>
      <c r="F28" s="31"/>
      <c r="G28" s="39" t="n">
        <f aca="false">IFERROR(C28/F28,0)</f>
        <v>0</v>
      </c>
      <c r="H28" s="31"/>
      <c r="I28" s="31"/>
      <c r="J28" s="39" t="n">
        <f aca="false">IFERROR(C28/I28,0)</f>
        <v>0</v>
      </c>
      <c r="K28" s="40" t="n">
        <f aca="false">IFERROR(I28/H28,0)</f>
        <v>0</v>
      </c>
      <c r="L28" s="31"/>
      <c r="M28" s="40" t="n">
        <f aca="false">IFERROR(L28/I28,0)</f>
        <v>0</v>
      </c>
      <c r="N28" s="31"/>
      <c r="O28" s="31"/>
      <c r="P28" s="31"/>
      <c r="Q28" s="39" t="n">
        <f aca="false">IFERROR(C28/P28,0)</f>
        <v>0</v>
      </c>
      <c r="R28" s="43"/>
      <c r="S28" s="41" t="n">
        <f aca="false">IFERROR(R28/C28,0)</f>
        <v>0</v>
      </c>
    </row>
    <row r="29" customFormat="false" ht="15" hidden="false" customHeight="true" outlineLevel="0" collapsed="false">
      <c r="A29" s="29" t="n">
        <f aca="false">A28+1</f>
        <v>46196</v>
      </c>
      <c r="B29" s="30" t="n">
        <f aca="false">IFERROR(WEEKNUM(A29,21),"")</f>
        <v>26</v>
      </c>
      <c r="C29" s="38"/>
      <c r="D29" s="31"/>
      <c r="E29" s="39" t="n">
        <f aca="false">IFERROR(C29/D29*1000,0)</f>
        <v>0</v>
      </c>
      <c r="F29" s="31"/>
      <c r="G29" s="39" t="n">
        <f aca="false">IFERROR(C29/F29,0)</f>
        <v>0</v>
      </c>
      <c r="H29" s="31"/>
      <c r="I29" s="31"/>
      <c r="J29" s="39" t="n">
        <f aca="false">IFERROR(C29/I29,0)</f>
        <v>0</v>
      </c>
      <c r="K29" s="40" t="n">
        <f aca="false">IFERROR(I29/H29,0)</f>
        <v>0</v>
      </c>
      <c r="L29" s="31"/>
      <c r="M29" s="40" t="n">
        <f aca="false">IFERROR(L29/I29,0)</f>
        <v>0</v>
      </c>
      <c r="N29" s="31"/>
      <c r="O29" s="31"/>
      <c r="P29" s="31"/>
      <c r="Q29" s="39" t="n">
        <f aca="false">IFERROR(C29/P29,0)</f>
        <v>0</v>
      </c>
      <c r="R29" s="43"/>
      <c r="S29" s="41" t="n">
        <f aca="false">IFERROR(R29/C29,0)</f>
        <v>0</v>
      </c>
    </row>
    <row r="30" customFormat="false" ht="15" hidden="false" customHeight="true" outlineLevel="0" collapsed="false">
      <c r="A30" s="29" t="n">
        <f aca="false">A29+1</f>
        <v>46197</v>
      </c>
      <c r="B30" s="30" t="n">
        <f aca="false">IFERROR(WEEKNUM(A30,21),"")</f>
        <v>26</v>
      </c>
      <c r="C30" s="38"/>
      <c r="D30" s="31"/>
      <c r="E30" s="39" t="n">
        <f aca="false">IFERROR(C30/D30*1000,0)</f>
        <v>0</v>
      </c>
      <c r="F30" s="31"/>
      <c r="G30" s="39" t="n">
        <f aca="false">IFERROR(C30/F30,0)</f>
        <v>0</v>
      </c>
      <c r="H30" s="31"/>
      <c r="I30" s="31"/>
      <c r="J30" s="39" t="n">
        <f aca="false">IFERROR(C30/I30,0)</f>
        <v>0</v>
      </c>
      <c r="K30" s="40" t="n">
        <f aca="false">IFERROR(I30/H30,0)</f>
        <v>0</v>
      </c>
      <c r="L30" s="31"/>
      <c r="M30" s="40" t="n">
        <f aca="false">IFERROR(L30/I30,0)</f>
        <v>0</v>
      </c>
      <c r="N30" s="31"/>
      <c r="O30" s="31"/>
      <c r="P30" s="31"/>
      <c r="Q30" s="39" t="n">
        <f aca="false">IFERROR(C30/P30,0)</f>
        <v>0</v>
      </c>
      <c r="R30" s="43"/>
      <c r="S30" s="41" t="n">
        <f aca="false">IFERROR(R30/C30,0)</f>
        <v>0</v>
      </c>
    </row>
    <row r="31" customFormat="false" ht="15" hidden="false" customHeight="true" outlineLevel="0" collapsed="false">
      <c r="A31" s="29" t="n">
        <f aca="false">A30+1</f>
        <v>46198</v>
      </c>
      <c r="B31" s="30" t="n">
        <f aca="false">IFERROR(WEEKNUM(A31,21),"")</f>
        <v>26</v>
      </c>
      <c r="C31" s="38"/>
      <c r="D31" s="31"/>
      <c r="E31" s="39" t="n">
        <f aca="false">IFERROR(C31/D31*1000,0)</f>
        <v>0</v>
      </c>
      <c r="F31" s="31"/>
      <c r="G31" s="39" t="n">
        <f aca="false">IFERROR(C31/F31,0)</f>
        <v>0</v>
      </c>
      <c r="H31" s="31"/>
      <c r="I31" s="31"/>
      <c r="J31" s="39" t="n">
        <f aca="false">IFERROR(C31/I31,0)</f>
        <v>0</v>
      </c>
      <c r="K31" s="40" t="n">
        <f aca="false">IFERROR(I31/H31,0)</f>
        <v>0</v>
      </c>
      <c r="L31" s="31"/>
      <c r="M31" s="40" t="n">
        <f aca="false">IFERROR(L31/I31,0)</f>
        <v>0</v>
      </c>
      <c r="N31" s="31"/>
      <c r="O31" s="31"/>
      <c r="P31" s="31"/>
      <c r="Q31" s="39" t="n">
        <f aca="false">IFERROR(C31/P31,0)</f>
        <v>0</v>
      </c>
      <c r="R31" s="43"/>
      <c r="S31" s="41" t="n">
        <f aca="false">IFERROR(R31/C31,0)</f>
        <v>0</v>
      </c>
    </row>
    <row r="32" customFormat="false" ht="15" hidden="false" customHeight="true" outlineLevel="0" collapsed="false">
      <c r="A32" s="29" t="n">
        <f aca="false">A31+1</f>
        <v>46199</v>
      </c>
      <c r="B32" s="30" t="n">
        <f aca="false">IFERROR(WEEKNUM(A32,21),"")</f>
        <v>26</v>
      </c>
      <c r="C32" s="38"/>
      <c r="D32" s="31"/>
      <c r="E32" s="39" t="n">
        <f aca="false">IFERROR(C32/D32*1000,0)</f>
        <v>0</v>
      </c>
      <c r="F32" s="31"/>
      <c r="G32" s="39" t="n">
        <f aca="false">IFERROR(C32/F32,0)</f>
        <v>0</v>
      </c>
      <c r="H32" s="31"/>
      <c r="I32" s="31"/>
      <c r="J32" s="39" t="n">
        <f aca="false">IFERROR(C32/I32,0)</f>
        <v>0</v>
      </c>
      <c r="K32" s="40" t="n">
        <f aca="false">IFERROR(I32/H32,0)</f>
        <v>0</v>
      </c>
      <c r="L32" s="31"/>
      <c r="M32" s="40" t="n">
        <f aca="false">IFERROR(L32/I32,0)</f>
        <v>0</v>
      </c>
      <c r="N32" s="31"/>
      <c r="O32" s="31"/>
      <c r="P32" s="31"/>
      <c r="Q32" s="39" t="n">
        <f aca="false">IFERROR(C32/P32,0)</f>
        <v>0</v>
      </c>
      <c r="R32" s="43"/>
      <c r="S32" s="41" t="n">
        <f aca="false">IFERROR(R32/C32,0)</f>
        <v>0</v>
      </c>
    </row>
    <row r="33" customFormat="false" ht="15" hidden="false" customHeight="true" outlineLevel="0" collapsed="false">
      <c r="A33" s="29" t="n">
        <f aca="false">A32+1</f>
        <v>46200</v>
      </c>
      <c r="B33" s="30" t="n">
        <f aca="false">IFERROR(WEEKNUM(A33,21),"")</f>
        <v>26</v>
      </c>
      <c r="C33" s="38"/>
      <c r="D33" s="31"/>
      <c r="E33" s="39" t="n">
        <f aca="false">IFERROR(C33/D33*1000,0)</f>
        <v>0</v>
      </c>
      <c r="F33" s="31"/>
      <c r="G33" s="39" t="n">
        <f aca="false">IFERROR(C33/F33,0)</f>
        <v>0</v>
      </c>
      <c r="H33" s="31"/>
      <c r="I33" s="31"/>
      <c r="J33" s="39" t="n">
        <f aca="false">IFERROR(C33/I33,0)</f>
        <v>0</v>
      </c>
      <c r="K33" s="40" t="n">
        <f aca="false">IFERROR(I33/H33,0)</f>
        <v>0</v>
      </c>
      <c r="L33" s="31"/>
      <c r="M33" s="40" t="n">
        <f aca="false">IFERROR(L33/I33,0)</f>
        <v>0</v>
      </c>
      <c r="N33" s="31"/>
      <c r="O33" s="31"/>
      <c r="P33" s="31"/>
      <c r="Q33" s="39" t="n">
        <f aca="false">IFERROR(C33/P33,0)</f>
        <v>0</v>
      </c>
      <c r="R33" s="43"/>
      <c r="S33" s="41" t="n">
        <f aca="false">IFERROR(R33/C33,0)</f>
        <v>0</v>
      </c>
    </row>
    <row r="34" customFormat="false" ht="15" hidden="false" customHeight="true" outlineLevel="0" collapsed="false">
      <c r="A34" s="29" t="n">
        <f aca="false">A33+1</f>
        <v>46201</v>
      </c>
      <c r="B34" s="30" t="n">
        <f aca="false">IFERROR(WEEKNUM(A34,21),"")</f>
        <v>26</v>
      </c>
      <c r="C34" s="38"/>
      <c r="D34" s="31"/>
      <c r="E34" s="39" t="n">
        <f aca="false">IFERROR(C34/D34*1000,0)</f>
        <v>0</v>
      </c>
      <c r="F34" s="31"/>
      <c r="G34" s="39" t="n">
        <f aca="false">IFERROR(C34/F34,0)</f>
        <v>0</v>
      </c>
      <c r="H34" s="31"/>
      <c r="I34" s="31"/>
      <c r="J34" s="39" t="n">
        <f aca="false">IFERROR(C34/I34,0)</f>
        <v>0</v>
      </c>
      <c r="K34" s="40" t="n">
        <f aca="false">IFERROR(I34/H34,0)</f>
        <v>0</v>
      </c>
      <c r="L34" s="31"/>
      <c r="M34" s="40" t="n">
        <f aca="false">IFERROR(L34/I34,0)</f>
        <v>0</v>
      </c>
      <c r="N34" s="31"/>
      <c r="O34" s="31"/>
      <c r="P34" s="31"/>
      <c r="Q34" s="39" t="n">
        <f aca="false">IFERROR(C34/P34,0)</f>
        <v>0</v>
      </c>
      <c r="R34" s="43"/>
      <c r="S34" s="41" t="n">
        <f aca="false">IFERROR(R34/C34,0)</f>
        <v>0</v>
      </c>
    </row>
    <row r="35" customFormat="false" ht="15" hidden="false" customHeight="true" outlineLevel="0" collapsed="false">
      <c r="A35" s="29" t="n">
        <f aca="false">A34+1</f>
        <v>46202</v>
      </c>
      <c r="B35" s="30" t="n">
        <f aca="false">IFERROR(WEEKNUM(A35,21),"")</f>
        <v>27</v>
      </c>
      <c r="C35" s="38"/>
      <c r="D35" s="31"/>
      <c r="E35" s="39" t="n">
        <f aca="false">IFERROR(C35/D35*1000,0)</f>
        <v>0</v>
      </c>
      <c r="F35" s="31"/>
      <c r="G35" s="39" t="n">
        <f aca="false">IFERROR(C35/F35,0)</f>
        <v>0</v>
      </c>
      <c r="H35" s="31"/>
      <c r="I35" s="31"/>
      <c r="J35" s="39" t="n">
        <f aca="false">IFERROR(C35/I35,0)</f>
        <v>0</v>
      </c>
      <c r="K35" s="40" t="n">
        <f aca="false">IFERROR(I35/H35,0)</f>
        <v>0</v>
      </c>
      <c r="L35" s="31"/>
      <c r="M35" s="40" t="n">
        <f aca="false">IFERROR(L35/I35,0)</f>
        <v>0</v>
      </c>
      <c r="N35" s="31"/>
      <c r="O35" s="31"/>
      <c r="P35" s="31"/>
      <c r="Q35" s="39" t="n">
        <f aca="false">IFERROR(C35/P35,0)</f>
        <v>0</v>
      </c>
      <c r="R35" s="43"/>
      <c r="S35" s="41" t="n">
        <f aca="false">IFERROR(R35/C35,0)</f>
        <v>0</v>
      </c>
    </row>
    <row r="36" customFormat="false" ht="15" hidden="false" customHeight="true" outlineLevel="0" collapsed="false">
      <c r="A36" s="29" t="n">
        <f aca="false">A35+1</f>
        <v>46203</v>
      </c>
      <c r="B36" s="30" t="n">
        <f aca="false">IFERROR(WEEKNUM(A36,21),"")</f>
        <v>27</v>
      </c>
      <c r="C36" s="38"/>
      <c r="D36" s="31"/>
      <c r="E36" s="39" t="n">
        <f aca="false">IFERROR(C36/D36*1000,0)</f>
        <v>0</v>
      </c>
      <c r="F36" s="31"/>
      <c r="G36" s="39" t="n">
        <f aca="false">IFERROR(C36/F36,0)</f>
        <v>0</v>
      </c>
      <c r="H36" s="31"/>
      <c r="I36" s="31"/>
      <c r="J36" s="39" t="n">
        <f aca="false">IFERROR(C36/I36,0)</f>
        <v>0</v>
      </c>
      <c r="K36" s="40" t="n">
        <f aca="false">IFERROR(I36/H36,0)</f>
        <v>0</v>
      </c>
      <c r="L36" s="31"/>
      <c r="M36" s="40" t="n">
        <f aca="false">IFERROR(L36/I36,0)</f>
        <v>0</v>
      </c>
      <c r="N36" s="31"/>
      <c r="O36" s="31"/>
      <c r="P36" s="31"/>
      <c r="Q36" s="39" t="n">
        <f aca="false">IFERROR(C36/P36,0)</f>
        <v>0</v>
      </c>
      <c r="R36" s="43"/>
      <c r="S36" s="41" t="n">
        <f aca="false">IFERROR(R36/C36,0)</f>
        <v>0</v>
      </c>
    </row>
    <row r="37" customFormat="false" ht="15" hidden="false" customHeight="true" outlineLevel="0" collapsed="false">
      <c r="A37" s="29" t="n">
        <f aca="false">A36+1</f>
        <v>46204</v>
      </c>
      <c r="B37" s="30" t="n">
        <f aca="false">IFERROR(WEEKNUM(A37,21),"")</f>
        <v>27</v>
      </c>
      <c r="C37" s="38"/>
      <c r="D37" s="31"/>
      <c r="E37" s="39" t="n">
        <f aca="false">IFERROR(C37/D37*1000,0)</f>
        <v>0</v>
      </c>
      <c r="F37" s="31"/>
      <c r="G37" s="39" t="n">
        <f aca="false">IFERROR(C37/F37,0)</f>
        <v>0</v>
      </c>
      <c r="H37" s="31"/>
      <c r="I37" s="31"/>
      <c r="J37" s="39" t="n">
        <f aca="false">IFERROR(C37/I37,0)</f>
        <v>0</v>
      </c>
      <c r="K37" s="40" t="n">
        <f aca="false">IFERROR(I37/H37,0)</f>
        <v>0</v>
      </c>
      <c r="L37" s="31"/>
      <c r="M37" s="40" t="n">
        <f aca="false">IFERROR(L37/I37,0)</f>
        <v>0</v>
      </c>
      <c r="N37" s="31"/>
      <c r="O37" s="31"/>
      <c r="P37" s="31"/>
      <c r="Q37" s="39" t="n">
        <f aca="false">IFERROR(C37/P37,0)</f>
        <v>0</v>
      </c>
      <c r="R37" s="43"/>
      <c r="S37" s="41" t="n">
        <f aca="false">IFERROR(R37/C37,0)</f>
        <v>0</v>
      </c>
    </row>
    <row r="39" customFormat="false" ht="27.75" hidden="false" customHeight="true" outlineLevel="0" collapsed="false">
      <c r="A39" s="33" t="s">
        <v>43</v>
      </c>
      <c r="B39" s="33"/>
      <c r="C39" s="33"/>
      <c r="D39" s="33"/>
      <c r="E39" s="33"/>
      <c r="F39" s="33"/>
      <c r="G39" s="33"/>
      <c r="H39" s="33"/>
    </row>
    <row r="40" customFormat="false" ht="15" hidden="false" customHeight="true" outlineLevel="0" collapsed="false">
      <c r="A40" s="34" t="s">
        <v>44</v>
      </c>
      <c r="B40" s="34"/>
      <c r="C40" s="34"/>
      <c r="D40" s="34"/>
      <c r="E40" s="34"/>
      <c r="F40" s="34"/>
      <c r="G40" s="34"/>
      <c r="H40" s="34"/>
    </row>
  </sheetData>
  <mergeCells count="5">
    <mergeCell ref="A1:S1"/>
    <mergeCell ref="A2:S2"/>
    <mergeCell ref="C3:S3"/>
    <mergeCell ref="A39:H39"/>
    <mergeCell ref="A40:H40"/>
  </mergeCells>
  <hyperlinks>
    <hyperlink ref="A39" r:id="rId1" display="Zu viele Zahlen? Genau dafür ist das Strategiegespräch — wir werten es mit dir aus und bauen den automatisierten Funnel.  📅 Jetzt buchen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4" min="3" style="1" width="14"/>
    <col collapsed="false" customWidth="true" hidden="false" outlineLevel="0" max="5" min="5" style="1" width="18"/>
    <col collapsed="false" customWidth="true" hidden="false" outlineLevel="0" max="6" min="6" style="1" width="3"/>
    <col collapsed="false" customWidth="true" hidden="true" outlineLevel="0" max="7" min="7" style="1" width="13"/>
  </cols>
  <sheetData>
    <row r="1" customFormat="false" ht="30" hidden="false" customHeight="true" outlineLevel="0" collapsed="false">
      <c r="A1" s="2"/>
      <c r="B1" s="44" t="s">
        <v>79</v>
      </c>
      <c r="C1" s="44"/>
      <c r="D1" s="44"/>
      <c r="E1" s="44"/>
      <c r="F1" s="2"/>
    </row>
    <row r="2" customFormat="false" ht="15" hidden="false" customHeight="true" outlineLevel="0" collapsed="false">
      <c r="A2" s="2"/>
      <c r="B2" s="45" t="s">
        <v>80</v>
      </c>
      <c r="C2" s="45"/>
      <c r="D2" s="45"/>
      <c r="E2" s="45"/>
      <c r="F2" s="2"/>
    </row>
    <row r="4" customFormat="false" ht="15" hidden="false" customHeight="true" outlineLevel="0" collapsed="false">
      <c r="B4" s="46" t="n">
        <f aca="false">AVERAGE(G8:G17)</f>
        <v>0.537666666666667</v>
      </c>
      <c r="C4" s="46"/>
      <c r="D4" s="47" t="s">
        <v>81</v>
      </c>
      <c r="E4" s="47"/>
    </row>
    <row r="5" customFormat="false" ht="15" hidden="false" customHeight="true" outlineLevel="0" collapsed="false">
      <c r="B5" s="46"/>
      <c r="C5" s="46"/>
      <c r="D5" s="47"/>
      <c r="E5" s="47"/>
    </row>
    <row r="7" customFormat="false" ht="24" hidden="false" customHeight="true" outlineLevel="0" collapsed="false">
      <c r="A7" s="48"/>
      <c r="B7" s="48" t="s">
        <v>82</v>
      </c>
      <c r="C7" s="48" t="s">
        <v>83</v>
      </c>
      <c r="D7" s="48" t="s">
        <v>84</v>
      </c>
      <c r="E7" s="48" t="s">
        <v>85</v>
      </c>
    </row>
    <row r="8" customFormat="false" ht="23.25" hidden="false" customHeight="true" outlineLevel="0" collapsed="false">
      <c r="B8" s="49" t="s">
        <v>86</v>
      </c>
      <c r="C8" s="50" t="n">
        <v>5</v>
      </c>
      <c r="D8" s="51" t="n">
        <v>5</v>
      </c>
      <c r="E8" s="52" t="str">
        <f aca="false">IF(C8&gt;=D8,"🟢 stark",IF(C8&gt;=D8*0.6,"🟡 ok","🔴 Bottleneck"))</f>
        <v>🟢 stark</v>
      </c>
      <c r="G8" s="1" t="n">
        <f aca="false">MIN(IFERROR(C8/D8,0),1)</f>
        <v>1</v>
      </c>
    </row>
    <row r="9" customFormat="false" ht="15" hidden="false" customHeight="true" outlineLevel="0" collapsed="false">
      <c r="B9" s="53" t="s">
        <v>87</v>
      </c>
      <c r="C9" s="50" t="n">
        <v>6</v>
      </c>
      <c r="D9" s="51" t="n">
        <v>10</v>
      </c>
      <c r="E9" s="52" t="str">
        <f aca="false">IF(C9&gt;=D9,"🟢 stark",IF(C9&gt;=D9*0.6,"🟡 ok","🔴 Bottleneck"))</f>
        <v>🟡 ok</v>
      </c>
      <c r="G9" s="1" t="n">
        <f aca="false">MIN(IFERROR(C9/D9,0),1)</f>
        <v>0.6</v>
      </c>
    </row>
    <row r="10" customFormat="false" ht="23.25" hidden="false" customHeight="true" outlineLevel="0" collapsed="false">
      <c r="B10" s="49" t="s">
        <v>88</v>
      </c>
      <c r="C10" s="54" t="n">
        <v>0.3</v>
      </c>
      <c r="D10" s="55" t="n">
        <v>0.4</v>
      </c>
      <c r="E10" s="52" t="str">
        <f aca="false">IF(C10&gt;=D10,"🟢 stark",IF(C10&gt;=D10*0.6,"🟡 ok","🔴 Bottleneck"))</f>
        <v>🟡 ok</v>
      </c>
      <c r="G10" s="1" t="n">
        <f aca="false">MIN(IFERROR(C10/D10,0),1)</f>
        <v>0.75</v>
      </c>
    </row>
    <row r="11" customFormat="false" ht="15" hidden="false" customHeight="true" outlineLevel="0" collapsed="false">
      <c r="B11" s="53" t="s">
        <v>89</v>
      </c>
      <c r="C11" s="50" t="n">
        <v>70</v>
      </c>
      <c r="D11" s="51" t="n">
        <v>100</v>
      </c>
      <c r="E11" s="52" t="str">
        <f aca="false">IF(C11&gt;=D11,"🟢 stark",IF(C11&gt;=D11*0.6,"🟡 ok","🔴 Bottleneck"))</f>
        <v>🟡 ok</v>
      </c>
      <c r="G11" s="1" t="n">
        <f aca="false">MIN(IFERROR(C11/D11,0),1)</f>
        <v>0.7</v>
      </c>
    </row>
    <row r="12" customFormat="false" ht="15" hidden="false" customHeight="true" outlineLevel="0" collapsed="false">
      <c r="B12" s="49" t="s">
        <v>90</v>
      </c>
      <c r="C12" s="54" t="n">
        <v>0.78</v>
      </c>
      <c r="D12" s="55" t="n">
        <v>0.75</v>
      </c>
      <c r="E12" s="52" t="str">
        <f aca="false">IF(C12&gt;=D12,"🟢 stark",IF(C12&gt;=D12*0.6,"🟡 ok","🔴 Bottleneck"))</f>
        <v>🟢 stark</v>
      </c>
      <c r="G12" s="1" t="n">
        <f aca="false">MIN(IFERROR(C12/D12,0),1)</f>
        <v>1</v>
      </c>
    </row>
    <row r="13" customFormat="false" ht="15" hidden="false" customHeight="true" outlineLevel="0" collapsed="false">
      <c r="B13" s="53" t="s">
        <v>91</v>
      </c>
      <c r="C13" s="54" t="n">
        <v>0.12</v>
      </c>
      <c r="D13" s="55" t="n">
        <v>0.25</v>
      </c>
      <c r="E13" s="52" t="str">
        <f aca="false">IF(C13&gt;=D13,"🟢 stark",IF(C13&gt;=D13*0.6,"🟡 ok","🔴 Bottleneck"))</f>
        <v>🔴 Bottleneck</v>
      </c>
      <c r="G13" s="1" t="n">
        <f aca="false">MIN(IFERROR(C13/D13,0),1)</f>
        <v>0.48</v>
      </c>
    </row>
    <row r="14" customFormat="false" ht="23.25" hidden="false" customHeight="true" outlineLevel="0" collapsed="false">
      <c r="B14" s="49" t="s">
        <v>92</v>
      </c>
      <c r="C14" s="50" t="n">
        <v>0</v>
      </c>
      <c r="D14" s="51" t="n">
        <v>1</v>
      </c>
      <c r="E14" s="52" t="str">
        <f aca="false">IF(C14&gt;=D14,"🟢 stark",IF(C14&gt;=D14*0.6,"🟡 ok","🔴 Bottleneck"))</f>
        <v>🔴 Bottleneck</v>
      </c>
      <c r="G14" s="1" t="n">
        <f aca="false">MIN(IFERROR(C14/D14,0),1)</f>
        <v>0</v>
      </c>
    </row>
    <row r="15" customFormat="false" ht="15" hidden="false" customHeight="true" outlineLevel="0" collapsed="false">
      <c r="B15" s="53" t="s">
        <v>93</v>
      </c>
      <c r="C15" s="56" t="n">
        <v>0</v>
      </c>
      <c r="D15" s="57" t="n">
        <v>2.5</v>
      </c>
      <c r="E15" s="52" t="str">
        <f aca="false">IF(C15&gt;=D15,"🟢 stark",IF(C15&gt;=D15*0.6,"🟡 ok","🔴 Bottleneck"))</f>
        <v>🔴 Bottleneck</v>
      </c>
      <c r="G15" s="1" t="n">
        <f aca="false">MIN(IFERROR(C15/D15,0),1)</f>
        <v>0</v>
      </c>
    </row>
    <row r="16" customFormat="false" ht="15" hidden="false" customHeight="true" outlineLevel="0" collapsed="false">
      <c r="B16" s="49" t="s">
        <v>94</v>
      </c>
      <c r="C16" s="58" t="n">
        <v>18000</v>
      </c>
      <c r="D16" s="59" t="n">
        <v>100000</v>
      </c>
      <c r="E16" s="52" t="str">
        <f aca="false">IF(C16&gt;=D16,"🟢 stark",IF(C16&gt;=D16*0.6,"🟡 ok","🔴 Bottleneck"))</f>
        <v>🔴 Bottleneck</v>
      </c>
      <c r="G16" s="1" t="n">
        <f aca="false">MIN(IFERROR(C16/D16,0),1)</f>
        <v>0.18</v>
      </c>
    </row>
    <row r="17" customFormat="false" ht="15" hidden="false" customHeight="true" outlineLevel="0" collapsed="false">
      <c r="B17" s="53" t="s">
        <v>95</v>
      </c>
      <c r="C17" s="50" t="n">
        <v>2</v>
      </c>
      <c r="D17" s="51" t="n">
        <v>3</v>
      </c>
      <c r="E17" s="52" t="str">
        <f aca="false">IF(C17&gt;=D17,"🟢 stark",IF(C17&gt;=D17*0.6,"🟡 ok","🔴 Bottleneck"))</f>
        <v>🟡 ok</v>
      </c>
      <c r="G17" s="1" t="n">
        <f aca="false">MIN(IFERROR(C17/D17,0),1)</f>
        <v>0.666666666666667</v>
      </c>
    </row>
    <row r="20" customFormat="false" ht="24" hidden="false" customHeight="true" outlineLevel="0" collapsed="false">
      <c r="A20" s="2"/>
      <c r="B20" s="60" t="s">
        <v>96</v>
      </c>
      <c r="C20" s="60"/>
      <c r="D20" s="60"/>
      <c r="E20" s="60"/>
      <c r="F20" s="2"/>
    </row>
    <row r="21" customFormat="false" ht="21.75" hidden="false" customHeight="true" outlineLevel="0" collapsed="false">
      <c r="B21" s="61" t="s">
        <v>97</v>
      </c>
      <c r="C21" s="61"/>
      <c r="D21" s="61"/>
      <c r="E21" s="61"/>
    </row>
    <row r="22" customFormat="false" ht="15" hidden="false" customHeight="true" outlineLevel="0" collapsed="false">
      <c r="A22" s="48"/>
      <c r="B22" s="48" t="s">
        <v>98</v>
      </c>
      <c r="C22" s="48" t="s">
        <v>85</v>
      </c>
      <c r="D22" s="48"/>
      <c r="E22" s="48" t="s">
        <v>99</v>
      </c>
    </row>
    <row r="23" customFormat="false" ht="15" hidden="false" customHeight="true" outlineLevel="0" collapsed="false">
      <c r="B23" s="49" t="s">
        <v>100</v>
      </c>
      <c r="C23" s="62" t="s">
        <v>101</v>
      </c>
      <c r="D23" s="62"/>
      <c r="E23" s="63" t="n">
        <f aca="false">IF(OR(LOWER(C23)="voll",LOWER(C23)="ja"),1,IF(LOWER(C23)="teils",0.5,IF(LOWER(C23)="manuell",0,"")))</f>
        <v>0.5</v>
      </c>
    </row>
    <row r="24" customFormat="false" ht="15" hidden="false" customHeight="true" outlineLevel="0" collapsed="false">
      <c r="B24" s="49" t="s">
        <v>102</v>
      </c>
      <c r="C24" s="62" t="s">
        <v>103</v>
      </c>
      <c r="D24" s="62"/>
      <c r="E24" s="63" t="n">
        <f aca="false">IF(OR(LOWER(C24)="voll",LOWER(C24)="ja"),1,IF(LOWER(C24)="teils",0.5,IF(LOWER(C24)="manuell",0,"")))</f>
        <v>0</v>
      </c>
    </row>
    <row r="25" customFormat="false" ht="15" hidden="false" customHeight="true" outlineLevel="0" collapsed="false">
      <c r="B25" s="49" t="s">
        <v>104</v>
      </c>
      <c r="C25" s="62" t="s">
        <v>103</v>
      </c>
      <c r="D25" s="62"/>
      <c r="E25" s="63" t="n">
        <f aca="false">IF(OR(LOWER(C25)="voll",LOWER(C25)="ja"),1,IF(LOWER(C25)="teils",0.5,IF(LOWER(C25)="manuell",0,"")))</f>
        <v>0</v>
      </c>
    </row>
    <row r="26" customFormat="false" ht="15" hidden="false" customHeight="true" outlineLevel="0" collapsed="false">
      <c r="B26" s="49" t="s">
        <v>105</v>
      </c>
      <c r="C26" s="62"/>
      <c r="D26" s="62"/>
      <c r="E26" s="63" t="str">
        <f aca="false">IF(OR(LOWER(C26)="voll",LOWER(C26)="ja"),1,IF(LOWER(C26)="teils",0.5,IF(LOWER(C26)="manuell",0,"")))</f>
        <v/>
      </c>
    </row>
    <row r="27" customFormat="false" ht="15" hidden="false" customHeight="true" outlineLevel="0" collapsed="false">
      <c r="B27" s="49" t="s">
        <v>106</v>
      </c>
      <c r="C27" s="62"/>
      <c r="D27" s="62"/>
      <c r="E27" s="63" t="str">
        <f aca="false">IF(OR(LOWER(C27)="voll",LOWER(C27)="ja"),1,IF(LOWER(C27)="teils",0.5,IF(LOWER(C27)="manuell",0,"")))</f>
        <v/>
      </c>
    </row>
    <row r="28" customFormat="false" ht="15" hidden="false" customHeight="true" outlineLevel="0" collapsed="false">
      <c r="B28" s="64" t="s">
        <v>107</v>
      </c>
      <c r="C28" s="64"/>
      <c r="D28" s="64"/>
      <c r="E28" s="65" t="n">
        <f aca="false">IFERROR(AVERAGE(E23:E27),0)</f>
        <v>0.166666666666667</v>
      </c>
    </row>
    <row r="30" customFormat="false" ht="30" hidden="false" customHeight="true" outlineLevel="0" collapsed="false">
      <c r="B30" s="66" t="s">
        <v>108</v>
      </c>
      <c r="C30" s="66"/>
      <c r="D30" s="66"/>
      <c r="E30" s="66"/>
    </row>
    <row r="31" customFormat="false" ht="30" hidden="false" customHeight="true" outlineLevel="0" collapsed="false">
      <c r="B31" s="18" t="s">
        <v>109</v>
      </c>
      <c r="C31" s="18"/>
      <c r="D31" s="18"/>
      <c r="E31" s="18"/>
    </row>
  </sheetData>
  <mergeCells count="15">
    <mergeCell ref="B1:E1"/>
    <mergeCell ref="B2:E2"/>
    <mergeCell ref="B4:C5"/>
    <mergeCell ref="D4:E5"/>
    <mergeCell ref="B20:E20"/>
    <mergeCell ref="B21:E21"/>
    <mergeCell ref="C22:D22"/>
    <mergeCell ref="C23:D23"/>
    <mergeCell ref="C24:D24"/>
    <mergeCell ref="C25:D25"/>
    <mergeCell ref="C26:D26"/>
    <mergeCell ref="C27:D27"/>
    <mergeCell ref="B28:D28"/>
    <mergeCell ref="B30:E30"/>
    <mergeCell ref="B31:E31"/>
  </mergeCells>
  <conditionalFormatting sqref="E8:E17">
    <cfRule type="expression" priority="2" aboveAverage="0" equalAverage="0" bottom="0" percent="0" rank="0" text="" dxfId="0">
      <formula>ISNUMBER(SEARCH("🟢",E8))</formula>
    </cfRule>
    <cfRule type="expression" priority="3" aboveAverage="0" equalAverage="0" bottom="0" percent="0" rank="0" text="" dxfId="1">
      <formula>ISNUMBER(SEARCH("🟡",E8))</formula>
    </cfRule>
    <cfRule type="expression" priority="4" aboveAverage="0" equalAverage="0" bottom="0" percent="0" rank="0" text="" dxfId="2">
      <formula>ISNUMBER(SEARCH("🔴",E8))</formula>
    </cfRule>
  </conditionalFormatting>
  <hyperlinks>
    <hyperlink ref="B31" r:id="rId1" display="📅  Strategiegespräch buchen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LibreOffice/25.8.7.3$MacOSX_AARCH64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2026-06-25T08:21:08Z</dcterms:created>
  <dc:creator>openpyxl</dc:creator>
  <dc:description/>
  <dc:language>de-DE</dc:language>
  <cp:lastModifiedBy/>
  <dcterms:modified xsi:type="dcterms:W3CDTF">2026-06-25T08:22:13Z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