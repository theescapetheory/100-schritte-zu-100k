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▸ Start hier" sheetId="1" state="visible" r:id="rId3"/>
    <sheet name="Daten" sheetId="2" state="visible" r:id="rId4"/>
    <sheet name="Monat — Dashboar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<sst xmlns="http://schemas.openxmlformats.org/spreadsheetml/2006/main" count="100" uniqueCount="61">
  <si>
    <t xml:space="preserve">100 SCHRITTE ZU 100K</t>
  </si>
  <si>
    <t xml:space="preserve">Dein automatisches Funnel-Tracking · The Escape Theory</t>
  </si>
  <si>
    <t xml:space="preserve">So funktioniert dein Tracking</t>
  </si>
  <si>
    <t xml:space="preserve">Dein Werbe-Tracking läuft automatisch — du musst nichts mehr abtippen und nichts pro Monat neu anlegen.</t>
  </si>
  <si>
    <t xml:space="preserve">1</t>
  </si>
  <si>
    <t xml:space="preserve">Make schreibt deine Meta-Zahlen täglich in den Tab »Daten« — eine Zeile pro Tag/Kampagne. Der wächst einfach weiter, für immer.</t>
  </si>
  <si>
    <t xml:space="preserve">2</t>
  </si>
  <si>
    <t xml:space="preserve">Im Tab »Monat — Dashboard« wählst du oben Zeitraum (Von–Bis) und Kampagne. Alle Kennzahlen + die Ampel rechnen sich sofort für deine Auswahl.</t>
  </si>
  <si>
    <t xml:space="preserve">3</t>
  </si>
  <si>
    <t xml:space="preserve">Einmal eingerichtet — nie wieder. Neuer Monat? Einzelner Tag? Neue Kampagne? Nur die Felder oben umstellen.</t>
  </si>
  <si>
    <t xml:space="preserve">So liest du das Dashboard</t>
  </si>
  <si>
    <t xml:space="preserve">• Ein Tag auswerten: Von und Bis auf denselben Tag setzen.</t>
  </si>
  <si>
    <t xml:space="preserve">• Ein Monat: Von = 1., Bis = letzter Tag des Monats.</t>
  </si>
  <si>
    <t xml:space="preserve">• Eine bestimmte Kampagne: im Dropdown »Kampagne« auswählen (oder »Alle«).</t>
  </si>
  <si>
    <t xml:space="preserve">• Blaue Felder = du/Make trägst ein · beige Felder = rechnen sich selbst.</t>
  </si>
  <si>
    <t xml:space="preserve">📅  Werte dein Tracking mit uns aus → kostenloses Strategiegespräch</t>
  </si>
  <si>
    <t xml:space="preserve">Datum</t>
  </si>
  <si>
    <t xml:space="preserve">Kampagne</t>
  </si>
  <si>
    <t xml:space="preserve">Funnel-Typ</t>
  </si>
  <si>
    <t xml:space="preserve">Werbekosten (€)</t>
  </si>
  <si>
    <t xml:space="preserve">Impressionen</t>
  </si>
  <si>
    <t xml:space="preserve">Link-Klicks</t>
  </si>
  <si>
    <t xml:space="preserve">LP-Aufrufe</t>
  </si>
  <si>
    <t xml:space="preserve">Leads / Opt-ins</t>
  </si>
  <si>
    <t xml:space="preserve">Beratungs-gespräche</t>
  </si>
  <si>
    <t xml:space="preserve">Abschlüsse</t>
  </si>
  <si>
    <t xml:space="preserve">Umsatz (€)</t>
  </si>
  <si>
    <t xml:space="preserve">Freebie-Ads</t>
  </si>
  <si>
    <t xml:space="preserve">Freebie</t>
  </si>
  <si>
    <t xml:space="preserve">Webinar-Ads</t>
  </si>
  <si>
    <t xml:space="preserve">Webinar</t>
  </si>
  <si>
    <t xml:space="preserve">Social-Media-Ads</t>
  </si>
  <si>
    <t xml:space="preserve">Social Media</t>
  </si>
  <si>
    <t xml:space="preserve">↑ Hierhin schreibt Make taeglich automatisch (eine Zeile pro Tag &amp; Kampagne). Beispiel-Zeilen oben einfach ueberschreiben/ergaenzen. Blau = Eingabe.</t>
  </si>
  <si>
    <t xml:space="preserve">MONAT — DASHBOARD</t>
  </si>
  <si>
    <t xml:space="preserve">Alle</t>
  </si>
  <si>
    <t xml:space="preserve">Zeitraum &amp; Kampagne oben wählen — alles darunter rechnet sich automatisch.</t>
  </si>
  <si>
    <t xml:space="preserve">Von:</t>
  </si>
  <si>
    <t xml:space="preserve">Bis:</t>
  </si>
  <si>
    <t xml:space="preserve">Kampagne:</t>
  </si>
  <si>
    <t xml:space="preserve">← Tipp: ein Tag = Von und Bis gleich setzen</t>
  </si>
  <si>
    <t xml:space="preserve">Kennzahl</t>
  </si>
  <si>
    <t xml:space="preserve">Wert</t>
  </si>
  <si>
    <t xml:space="preserve">Benchmark</t>
  </si>
  <si>
    <t xml:space="preserve">Status</t>
  </si>
  <si>
    <t xml:space="preserve">Werbekosten</t>
  </si>
  <si>
    <t xml:space="preserve">Beratungsgespräche</t>
  </si>
  <si>
    <t xml:space="preserve">Umsatz</t>
  </si>
  <si>
    <t xml:space="preserve">Berechnet (mit Ampel)</t>
  </si>
  <si>
    <t xml:space="preserve">CPM</t>
  </si>
  <si>
    <t xml:space="preserve">—</t>
  </si>
  <si>
    <t xml:space="preserve">CPC</t>
  </si>
  <si>
    <t xml:space="preserve">CPL (Kosten/Lead)</t>
  </si>
  <si>
    <t xml:space="preserve">Opt-in-Rate</t>
  </si>
  <si>
    <t xml:space="preserve">🟢 ≥40%</t>
  </si>
  <si>
    <t xml:space="preserve">Abschlussrate</t>
  </si>
  <si>
    <t xml:space="preserve">🟢 ≥25%</t>
  </si>
  <si>
    <t xml:space="preserve">Kosten/Abschluss</t>
  </si>
  <si>
    <t xml:space="preserve">ROAS</t>
  </si>
  <si>
    <t xml:space="preserve">🟢 ≥3</t>
  </si>
  <si>
    <t xml:space="preserve">Engpass gefunden? 📅 Lass ihn uns im Strategiegespräch lösen →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</si>
</sst>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&quot; €&quot;"/>
    <numFmt numFmtId="167" formatCode="#,##0.00&quot; €&quot;"/>
    <numFmt numFmtId="168" formatCode="#,##0"/>
    <numFmt numFmtId="169" formatCode="0.0%"/>
    <numFmt numFmtId="170" formatCode="0.0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FFF"/>
      <name val="Arial"/>
      <family val="0"/>
      <charset val="1"/>
    </font>
    <font>
      <sz val="11"/>
      <color rgb="FFB3DDE9"/>
      <name val="Arial"/>
      <family val="0"/>
      <charset val="1"/>
    </font>
    <font>
      <b val="true"/>
      <sz val="15"/>
      <color rgb="FF0D1C32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5"/>
      <color rgb="FFCDB08F"/>
      <name val="Arial"/>
      <family val="0"/>
      <charset val="1"/>
    </font>
    <font>
      <sz val="10"/>
      <color rgb="FF0D1C32"/>
      <name val="Arial"/>
      <family val="0"/>
      <charset val="1"/>
    </font>
    <font>
      <b val="true"/>
      <sz val="13"/>
      <color rgb="FF0D1C32"/>
      <name val="Arial"/>
      <family val="0"/>
      <charset val="1"/>
    </font>
    <font>
      <b val="true"/>
      <sz val="12"/>
      <color rgb="FF0D1C3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3DDE9"/>
      <name val="Arial"/>
      <family val="0"/>
      <charset val="1"/>
    </font>
    <font>
      <b val="true"/>
      <sz val="11"/>
      <color rgb="FF0D1C32"/>
      <name val="Arial"/>
      <family val="0"/>
      <charset val="1"/>
    </font>
    <font>
      <b val="true"/>
      <sz val="11"/>
      <color rgb="FF0000CC"/>
      <name val="Arial"/>
      <family val="0"/>
      <charset val="1"/>
    </font>
    <font>
      <sz val="9"/>
      <color rgb="FFA06B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D1C32"/>
      <name val="Arial"/>
      <family val="0"/>
      <charset val="1"/>
    </font>
    <font>
      <b val="true"/>
      <sz val="10"/>
      <color rgb="FFCDB08F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99999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BEFD6"/>
      </patternFill>
    </fill>
    <fill>
      <patternFill patternType="solid">
        <fgColor rgb="FFCDB08F"/>
        <bgColor rgb="FF999999"/>
      </patternFill>
    </fill>
    <fill>
      <patternFill patternType="solid">
        <fgColor rgb="FF13263F"/>
        <bgColor rgb="FF0D1C32"/>
      </patternFill>
    </fill>
    <fill>
      <patternFill patternType="solid">
        <fgColor rgb="FFFFFFFF"/>
        <bgColor rgb="FFF4F1EC"/>
      </patternFill>
    </fill>
    <fill>
      <patternFill patternType="solid">
        <fgColor rgb="FFFBEFD6"/>
        <bgColor rgb="FFF3E7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A06B3A"/>
      <rgbColor rgb="FF800080"/>
      <rgbColor rgb="FF008080"/>
      <rgbColor rgb="FFCDB08F"/>
      <rgbColor rgb="FF888888"/>
      <rgbColor rgb="FF9999FF"/>
      <rgbColor rgb="FF993366"/>
      <rgbColor rgb="FFFBEFD6"/>
      <rgbColor rgb="FFF4F1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sheet&amp;utm_medium=tracking&amp;utm_campaign=100-schritte-zu-100k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sheet&amp;utm_medium=tracking&amp;utm_campaign=100-schritte-zu-100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30"/>
    <col collapsed="false" customWidth="true" hidden="false" outlineLevel="0" max="6" min="4" style="1" width="24"/>
    <col collapsed="false" customWidth="true" hidden="false" outlineLevel="0" max="7" min="7" style="1" width="3"/>
  </cols>
  <sheetData>
    <row r="2" customFormat="false" ht="36" hidden="false" customHeight="true" outlineLevel="0" collapsed="false">
      <c r="A2" s="2"/>
      <c r="B2" s="3" t="s">
        <v>0</v>
      </c>
      <c r="C2" s="3"/>
      <c r="D2" s="3"/>
      <c r="E2" s="3"/>
      <c r="F2" s="3"/>
      <c r="G2" s="2"/>
    </row>
    <row r="3" customFormat="false" ht="19.5" hidden="false" customHeight="true" outlineLevel="0" collapsed="false">
      <c r="A3" s="2"/>
      <c r="B3" s="4" t="s">
        <v>1</v>
      </c>
      <c r="C3" s="4"/>
      <c r="D3" s="4"/>
      <c r="E3" s="4"/>
      <c r="F3" s="4"/>
      <c r="G3" s="2"/>
    </row>
    <row r="5" customFormat="false" ht="18" hidden="false" customHeight="true" outlineLevel="0" collapsed="false">
      <c r="B5" s="5" t="s">
        <v>2</v>
      </c>
      <c r="C5" s="5"/>
      <c r="D5" s="5"/>
      <c r="E5" s="5"/>
      <c r="F5" s="5"/>
    </row>
    <row r="6" customFormat="false" ht="33.75" hidden="false" customHeight="true" outlineLevel="0" collapsed="false">
      <c r="B6" s="6" t="s">
        <v>3</v>
      </c>
      <c r="C6" s="6"/>
      <c r="D6" s="6"/>
      <c r="E6" s="6"/>
      <c r="F6" s="6"/>
    </row>
    <row r="8" customFormat="false" ht="43.5" hidden="false" customHeight="true" outlineLevel="0" collapsed="false">
      <c r="B8" s="7" t="s">
        <v>4</v>
      </c>
      <c r="C8" s="8" t="s">
        <v>5</v>
      </c>
      <c r="D8" s="8"/>
      <c r="E8" s="8"/>
      <c r="F8" s="8"/>
    </row>
    <row r="9" customFormat="false" ht="43.5" hidden="false" customHeight="true" outlineLevel="0" collapsed="false">
      <c r="B9" s="7" t="s">
        <v>6</v>
      </c>
      <c r="C9" s="8" t="s">
        <v>7</v>
      </c>
      <c r="D9" s="8"/>
      <c r="E9" s="8"/>
      <c r="F9" s="8"/>
    </row>
    <row r="10" customFormat="false" ht="43.5" hidden="false" customHeight="true" outlineLevel="0" collapsed="false">
      <c r="B10" s="7" t="s">
        <v>8</v>
      </c>
      <c r="C10" s="8" t="s">
        <v>9</v>
      </c>
      <c r="D10" s="8"/>
      <c r="E10" s="8"/>
      <c r="F10" s="8"/>
    </row>
    <row r="12" customFormat="false" ht="15.75" hidden="false" customHeight="true" outlineLevel="0" collapsed="false">
      <c r="B12" s="9" t="s">
        <v>10</v>
      </c>
      <c r="C12" s="9"/>
      <c r="D12" s="9"/>
      <c r="E12" s="9"/>
      <c r="F12" s="9"/>
    </row>
    <row r="13" customFormat="false" ht="19.5" hidden="false" customHeight="true" outlineLevel="0" collapsed="false">
      <c r="B13" s="6" t="s">
        <v>11</v>
      </c>
      <c r="C13" s="6"/>
      <c r="D13" s="6"/>
      <c r="E13" s="6"/>
      <c r="F13" s="6"/>
    </row>
    <row r="14" customFormat="false" ht="19.5" hidden="false" customHeight="true" outlineLevel="0" collapsed="false">
      <c r="B14" s="6" t="s">
        <v>12</v>
      </c>
      <c r="C14" s="6"/>
      <c r="D14" s="6"/>
      <c r="E14" s="6"/>
      <c r="F14" s="6"/>
    </row>
    <row r="15" customFormat="false" ht="19.5" hidden="false" customHeight="true" outlineLevel="0" collapsed="false">
      <c r="B15" s="6" t="s">
        <v>13</v>
      </c>
      <c r="C15" s="6"/>
      <c r="D15" s="6"/>
      <c r="E15" s="6"/>
      <c r="F15" s="6"/>
    </row>
    <row r="16" customFormat="false" ht="19.5" hidden="false" customHeight="true" outlineLevel="0" collapsed="false">
      <c r="B16" s="6" t="s">
        <v>14</v>
      </c>
      <c r="C16" s="6"/>
      <c r="D16" s="6"/>
      <c r="E16" s="6"/>
      <c r="F16" s="6"/>
    </row>
    <row r="18" customFormat="false" ht="31.5" hidden="false" customHeight="true" outlineLevel="0" collapsed="false">
      <c r="B18" s="10" t="s">
        <v>15</v>
      </c>
      <c r="C18" s="10"/>
      <c r="D18" s="10"/>
      <c r="E18" s="10"/>
      <c r="F18" s="10"/>
    </row>
  </sheetData>
  <mergeCells count="13">
    <mergeCell ref="B2:F2"/>
    <mergeCell ref="B3:F3"/>
    <mergeCell ref="B5:F5"/>
    <mergeCell ref="B6:F6"/>
    <mergeCell ref="C8:F8"/>
    <mergeCell ref="C9:F9"/>
    <mergeCell ref="C10:F10"/>
    <mergeCell ref="B12:F12"/>
    <mergeCell ref="B13:F13"/>
    <mergeCell ref="B14:F14"/>
    <mergeCell ref="B15:F15"/>
    <mergeCell ref="B16:F16"/>
    <mergeCell ref="B18:F18"/>
  </mergeCells>
  <hyperlinks>
    <hyperlink ref="B18" r:id="rId1" display="📅  Werte dein Tracking mit uns aus → kostenloses Strategiegesprä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7" min="6" style="1" width="11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12"/>
  </cols>
  <sheetData>
    <row r="1" customFormat="false" ht="30" hidden="false" customHeight="true" outlineLevel="0" collapsed="false">
      <c r="A1" s="11" t="s">
        <v>16</v>
      </c>
      <c r="B1" s="11" t="s">
        <v>17</v>
      </c>
      <c r="C1" s="11" t="s">
        <v>18</v>
      </c>
      <c r="D1" s="11" t="s">
        <v>19</v>
      </c>
      <c r="E1" s="11" t="s">
        <v>20</v>
      </c>
      <c r="F1" s="11" t="s">
        <v>21</v>
      </c>
      <c r="G1" s="11" t="s">
        <v>22</v>
      </c>
      <c r="H1" s="11" t="s">
        <v>23</v>
      </c>
      <c r="I1" s="11" t="s">
        <v>24</v>
      </c>
      <c r="J1" s="11" t="s">
        <v>25</v>
      </c>
      <c r="K1" s="11" t="s">
        <v>26</v>
      </c>
    </row>
    <row r="2" customFormat="false" ht="15" hidden="false" customHeight="true" outlineLevel="0" collapsed="false">
      <c r="A2" s="12" t="n">
        <v>46174</v>
      </c>
      <c r="B2" s="13" t="s">
        <v>27</v>
      </c>
      <c r="C2" s="13" t="s">
        <v>28</v>
      </c>
      <c r="D2" s="14" t="n">
        <v>25</v>
      </c>
      <c r="E2" s="13" t="n">
        <v>4200</v>
      </c>
      <c r="F2" s="13" t="n">
        <v>98</v>
      </c>
      <c r="G2" s="13" t="n">
        <v>82</v>
      </c>
      <c r="H2" s="13" t="n">
        <v>26</v>
      </c>
      <c r="I2" s="13" t="n">
        <v>0</v>
      </c>
      <c r="J2" s="13" t="n">
        <v>0</v>
      </c>
      <c r="K2" s="14" t="n">
        <v>0</v>
      </c>
    </row>
    <row r="3" customFormat="false" ht="15" hidden="false" customHeight="true" outlineLevel="0" collapsed="false">
      <c r="A3" s="12" t="n">
        <v>46174</v>
      </c>
      <c r="B3" s="13" t="s">
        <v>29</v>
      </c>
      <c r="C3" s="13" t="s">
        <v>30</v>
      </c>
      <c r="D3" s="14" t="n">
        <v>55</v>
      </c>
      <c r="E3" s="13" t="n">
        <v>5000</v>
      </c>
      <c r="F3" s="13" t="n">
        <v>70</v>
      </c>
      <c r="G3" s="13" t="n">
        <v>66</v>
      </c>
      <c r="H3" s="13" t="n">
        <v>22</v>
      </c>
      <c r="I3" s="13" t="n">
        <v>3</v>
      </c>
      <c r="J3" s="13" t="n">
        <v>1</v>
      </c>
      <c r="K3" s="14" t="n">
        <v>1997</v>
      </c>
    </row>
    <row r="4" customFormat="false" ht="15" hidden="false" customHeight="true" outlineLevel="0" collapsed="false">
      <c r="A4" s="12" t="n">
        <v>46175</v>
      </c>
      <c r="B4" s="13" t="s">
        <v>27</v>
      </c>
      <c r="C4" s="13" t="s">
        <v>28</v>
      </c>
      <c r="D4" s="14" t="n">
        <v>22</v>
      </c>
      <c r="E4" s="13" t="n">
        <v>3800</v>
      </c>
      <c r="F4" s="13" t="n">
        <v>76</v>
      </c>
      <c r="G4" s="13" t="n">
        <v>61</v>
      </c>
      <c r="H4" s="13" t="n">
        <v>18</v>
      </c>
      <c r="I4" s="13" t="n">
        <v>0</v>
      </c>
      <c r="J4" s="13" t="n">
        <v>0</v>
      </c>
      <c r="K4" s="14" t="n">
        <v>0</v>
      </c>
    </row>
    <row r="5" customFormat="false" ht="15" hidden="false" customHeight="true" outlineLevel="0" collapsed="false">
      <c r="A5" s="12" t="n">
        <v>46175</v>
      </c>
      <c r="B5" s="13" t="s">
        <v>29</v>
      </c>
      <c r="C5" s="13" t="s">
        <v>30</v>
      </c>
      <c r="D5" s="14" t="n">
        <v>48</v>
      </c>
      <c r="E5" s="13" t="n">
        <v>4400</v>
      </c>
      <c r="F5" s="13" t="n">
        <v>60</v>
      </c>
      <c r="G5" s="13" t="n">
        <v>55</v>
      </c>
      <c r="H5" s="13" t="n">
        <v>18</v>
      </c>
      <c r="I5" s="13" t="n">
        <v>2</v>
      </c>
      <c r="J5" s="13" t="n">
        <v>0</v>
      </c>
      <c r="K5" s="14" t="n">
        <v>0</v>
      </c>
    </row>
    <row r="6" customFormat="false" ht="15" hidden="false" customHeight="true" outlineLevel="0" collapsed="false">
      <c r="A6" s="12" t="n">
        <v>46176</v>
      </c>
      <c r="B6" s="13" t="s">
        <v>27</v>
      </c>
      <c r="C6" s="13" t="s">
        <v>28</v>
      </c>
      <c r="D6" s="14" t="n">
        <v>28</v>
      </c>
      <c r="E6" s="13" t="n">
        <v>5100</v>
      </c>
      <c r="F6" s="13" t="n">
        <v>112</v>
      </c>
      <c r="G6" s="13" t="n">
        <v>95</v>
      </c>
      <c r="H6" s="13" t="n">
        <v>31</v>
      </c>
      <c r="I6" s="13" t="n">
        <v>0</v>
      </c>
      <c r="J6" s="13" t="n">
        <v>0</v>
      </c>
      <c r="K6" s="14" t="n">
        <v>58</v>
      </c>
    </row>
    <row r="7" customFormat="false" ht="15" hidden="false" customHeight="true" outlineLevel="0" collapsed="false">
      <c r="A7" s="12" t="n">
        <v>46176</v>
      </c>
      <c r="B7" s="13" t="s">
        <v>29</v>
      </c>
      <c r="C7" s="13" t="s">
        <v>30</v>
      </c>
      <c r="D7" s="14" t="n">
        <v>62</v>
      </c>
      <c r="E7" s="13" t="n">
        <v>5800</v>
      </c>
      <c r="F7" s="13" t="n">
        <v>82</v>
      </c>
      <c r="G7" s="13" t="n">
        <v>78</v>
      </c>
      <c r="H7" s="13" t="n">
        <v>25</v>
      </c>
      <c r="I7" s="13" t="n">
        <v>4</v>
      </c>
      <c r="J7" s="13" t="n">
        <v>1</v>
      </c>
      <c r="K7" s="14" t="n">
        <v>1997</v>
      </c>
    </row>
    <row r="8" customFormat="false" ht="15" hidden="false" customHeight="true" outlineLevel="0" collapsed="false">
      <c r="A8" s="12" t="n">
        <v>46176</v>
      </c>
      <c r="B8" s="13" t="s">
        <v>31</v>
      </c>
      <c r="C8" s="13" t="s">
        <v>32</v>
      </c>
      <c r="D8" s="14" t="n">
        <v>18</v>
      </c>
      <c r="E8" s="13" t="n">
        <v>9800</v>
      </c>
      <c r="F8" s="13" t="n">
        <v>210</v>
      </c>
      <c r="G8" s="13" t="n">
        <v>160</v>
      </c>
      <c r="H8" s="13" t="n">
        <v>12</v>
      </c>
      <c r="I8" s="13" t="n">
        <v>0</v>
      </c>
      <c r="J8" s="13" t="n">
        <v>0</v>
      </c>
      <c r="K8" s="14" t="n">
        <v>0</v>
      </c>
    </row>
    <row r="9" customFormat="false" ht="15" hidden="false" customHeight="true" outlineLevel="0" collapsed="false">
      <c r="A9" s="12" t="n">
        <v>46177</v>
      </c>
      <c r="B9" s="13" t="s">
        <v>27</v>
      </c>
      <c r="C9" s="13" t="s">
        <v>28</v>
      </c>
      <c r="D9" s="14" t="n">
        <v>20</v>
      </c>
      <c r="E9" s="13" t="n">
        <v>3300</v>
      </c>
      <c r="F9" s="13" t="n">
        <v>64</v>
      </c>
      <c r="G9" s="13" t="n">
        <v>55</v>
      </c>
      <c r="H9" s="13" t="n">
        <v>16</v>
      </c>
      <c r="I9" s="13" t="n">
        <v>0</v>
      </c>
      <c r="J9" s="13" t="n">
        <v>0</v>
      </c>
      <c r="K9" s="14" t="n">
        <v>0</v>
      </c>
    </row>
    <row r="10" customFormat="false" ht="15" hidden="false" customHeight="true" outlineLevel="0" collapsed="false">
      <c r="A10" s="12" t="n">
        <v>46177</v>
      </c>
      <c r="B10" s="13" t="s">
        <v>29</v>
      </c>
      <c r="C10" s="13" t="s">
        <v>30</v>
      </c>
      <c r="D10" s="14" t="n">
        <v>45</v>
      </c>
      <c r="E10" s="13" t="n">
        <v>4000</v>
      </c>
      <c r="F10" s="13" t="n">
        <v>54</v>
      </c>
      <c r="G10" s="13" t="n">
        <v>50</v>
      </c>
      <c r="H10" s="13" t="n">
        <v>15</v>
      </c>
      <c r="I10" s="13" t="n">
        <v>2</v>
      </c>
      <c r="J10" s="13" t="n">
        <v>0</v>
      </c>
      <c r="K10" s="14" t="n">
        <v>0</v>
      </c>
    </row>
    <row r="11" customFormat="false" ht="15" hidden="false" customHeight="true" outlineLevel="0" collapsed="false">
      <c r="A11" s="12" t="n">
        <v>46177</v>
      </c>
      <c r="B11" s="13" t="s">
        <v>31</v>
      </c>
      <c r="C11" s="13" t="s">
        <v>32</v>
      </c>
      <c r="D11" s="14" t="n">
        <v>18</v>
      </c>
      <c r="E11" s="13" t="n">
        <v>10200</v>
      </c>
      <c r="F11" s="13" t="n">
        <v>225</v>
      </c>
      <c r="G11" s="13" t="n">
        <v>172</v>
      </c>
      <c r="H11" s="13" t="n">
        <v>14</v>
      </c>
      <c r="I11" s="13" t="n">
        <v>0</v>
      </c>
      <c r="J11" s="13" t="n">
        <v>0</v>
      </c>
      <c r="K11" s="14" t="n">
        <v>0</v>
      </c>
    </row>
    <row r="12" customFormat="false" ht="15" hidden="false" customHeight="true" outlineLevel="0" collapsed="false">
      <c r="A12" s="12" t="n">
        <v>46178</v>
      </c>
      <c r="B12" s="13" t="s">
        <v>27</v>
      </c>
      <c r="C12" s="13" t="s">
        <v>28</v>
      </c>
      <c r="D12" s="14" t="n">
        <v>26</v>
      </c>
      <c r="E12" s="13" t="n">
        <v>4600</v>
      </c>
      <c r="F12" s="13" t="n">
        <v>104</v>
      </c>
      <c r="G12" s="13" t="n">
        <v>88</v>
      </c>
      <c r="H12" s="13" t="n">
        <v>27</v>
      </c>
      <c r="I12" s="13" t="n">
        <v>0</v>
      </c>
      <c r="J12" s="13" t="n">
        <v>0</v>
      </c>
      <c r="K12" s="14" t="n">
        <v>29</v>
      </c>
    </row>
    <row r="13" customFormat="false" ht="15" hidden="false" customHeight="true" outlineLevel="0" collapsed="false">
      <c r="A13" s="12" t="n">
        <v>46178</v>
      </c>
      <c r="B13" s="13" t="s">
        <v>29</v>
      </c>
      <c r="C13" s="13" t="s">
        <v>30</v>
      </c>
      <c r="D13" s="14" t="n">
        <v>58</v>
      </c>
      <c r="E13" s="13" t="n">
        <v>5300</v>
      </c>
      <c r="F13" s="13" t="n">
        <v>75</v>
      </c>
      <c r="G13" s="13" t="n">
        <v>70</v>
      </c>
      <c r="H13" s="13" t="n">
        <v>21</v>
      </c>
      <c r="I13" s="13" t="n">
        <v>3</v>
      </c>
      <c r="J13" s="13" t="n">
        <v>1</v>
      </c>
      <c r="K13" s="14" t="n">
        <v>1997</v>
      </c>
    </row>
    <row r="14" customFormat="false" ht="15" hidden="false" customHeight="true" outlineLevel="0" collapsed="false">
      <c r="A14" s="12" t="n">
        <v>46204</v>
      </c>
      <c r="B14" s="13" t="s">
        <v>27</v>
      </c>
      <c r="C14" s="13" t="s">
        <v>28</v>
      </c>
      <c r="D14" s="14" t="n">
        <v>24</v>
      </c>
      <c r="E14" s="13" t="n">
        <v>4000</v>
      </c>
      <c r="F14" s="13" t="n">
        <v>90</v>
      </c>
      <c r="G14" s="13" t="n">
        <v>73</v>
      </c>
      <c r="H14" s="13" t="n">
        <v>23</v>
      </c>
      <c r="I14" s="13" t="n">
        <v>0</v>
      </c>
      <c r="J14" s="13" t="n">
        <v>0</v>
      </c>
      <c r="K14" s="14" t="n">
        <v>29</v>
      </c>
    </row>
    <row r="15" customFormat="false" ht="15" hidden="false" customHeight="true" outlineLevel="0" collapsed="false">
      <c r="A15" s="12" t="n">
        <v>46204</v>
      </c>
      <c r="B15" s="13" t="s">
        <v>29</v>
      </c>
      <c r="C15" s="13" t="s">
        <v>30</v>
      </c>
      <c r="D15" s="14" t="n">
        <v>52</v>
      </c>
      <c r="E15" s="13" t="n">
        <v>4700</v>
      </c>
      <c r="F15" s="13" t="n">
        <v>66</v>
      </c>
      <c r="G15" s="13" t="n">
        <v>60</v>
      </c>
      <c r="H15" s="13" t="n">
        <v>17</v>
      </c>
      <c r="I15" s="13" t="n">
        <v>2</v>
      </c>
      <c r="J15" s="13" t="n">
        <v>0</v>
      </c>
      <c r="K15" s="14" t="n">
        <v>0</v>
      </c>
    </row>
    <row r="17" customFormat="false" ht="126.75" hidden="false" customHeight="true" outlineLevel="0" collapsed="false">
      <c r="A17" s="1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3"/>
    <col collapsed="false" customWidth="true" hidden="true" outlineLevel="0" max="8" min="8" style="1" width="13"/>
  </cols>
  <sheetData>
    <row r="1" customFormat="false" ht="30" hidden="false" customHeight="true" outlineLevel="0" collapsed="false">
      <c r="A1" s="2"/>
      <c r="B1" s="16" t="s">
        <v>34</v>
      </c>
      <c r="C1" s="16"/>
      <c r="D1" s="16"/>
      <c r="E1" s="16"/>
      <c r="F1" s="2"/>
      <c r="H1" s="1" t="s">
        <v>35</v>
      </c>
    </row>
    <row r="2" customFormat="false" ht="15" hidden="false" customHeight="true" outlineLevel="0" collapsed="false">
      <c r="A2" s="2"/>
      <c r="B2" s="17" t="s">
        <v>36</v>
      </c>
      <c r="C2" s="17"/>
      <c r="D2" s="17"/>
      <c r="E2" s="17"/>
      <c r="F2" s="2"/>
      <c r="H2" s="1" t="str">
        <f aca="false">IFERROR(sort(unique(filter(Daten!B2:B1000,Daten!B2:B1000&lt;&gt;""))),"")</f>
        <v/>
      </c>
    </row>
    <row r="4" customFormat="false" ht="15" hidden="false" customHeight="true" outlineLevel="0" collapsed="false">
      <c r="B4" s="18" t="s">
        <v>37</v>
      </c>
      <c r="C4" s="19" t="n">
        <v>46174</v>
      </c>
      <c r="D4" s="18" t="s">
        <v>38</v>
      </c>
      <c r="E4" s="19" t="n">
        <v>46203</v>
      </c>
    </row>
    <row r="5" customFormat="false" ht="15" hidden="false" customHeight="true" outlineLevel="0" collapsed="false">
      <c r="B5" s="18" t="s">
        <v>39</v>
      </c>
      <c r="C5" s="20" t="s">
        <v>35</v>
      </c>
      <c r="D5" s="21" t="s">
        <v>40</v>
      </c>
      <c r="E5" s="21"/>
    </row>
    <row r="7" customFormat="false" ht="21.75" hidden="false" customHeight="true" outlineLevel="0" collapsed="false">
      <c r="A7" s="22"/>
      <c r="B7" s="22" t="s">
        <v>41</v>
      </c>
      <c r="C7" s="22" t="s">
        <v>42</v>
      </c>
      <c r="D7" s="22" t="s">
        <v>43</v>
      </c>
      <c r="E7" s="22" t="s">
        <v>44</v>
      </c>
    </row>
    <row r="8" customFormat="false" ht="15" hidden="false" customHeight="true" outlineLevel="0" collapsed="false">
      <c r="B8" s="23" t="s">
        <v>45</v>
      </c>
      <c r="C8" s="24" t="n">
        <f aca="false">ROUND(SUMIFS(Daten!D:D,Daten!A:A,"&gt;="&amp;$C$4,Daten!A:A,"&lt;="&amp;$E$4,Daten!B:B,IF($C$5="Alle","*",$C$5)),2)</f>
        <v>425</v>
      </c>
      <c r="D8" s="25"/>
      <c r="E8" s="25"/>
    </row>
    <row r="9" customFormat="false" ht="15" hidden="false" customHeight="true" outlineLevel="0" collapsed="false">
      <c r="B9" s="23" t="s">
        <v>20</v>
      </c>
      <c r="C9" s="26" t="n">
        <f aca="false">SUMIFS(Daten!E:E,Daten!A:A,"&gt;="&amp;$C$4,Daten!A:A,"&lt;="&amp;$E$4,Daten!B:B,IF($C$5="Alle","*",$C$5))</f>
        <v>65500</v>
      </c>
      <c r="D9" s="25"/>
      <c r="E9" s="25"/>
    </row>
    <row r="10" customFormat="false" ht="15" hidden="false" customHeight="true" outlineLevel="0" collapsed="false">
      <c r="B10" s="23" t="s">
        <v>21</v>
      </c>
      <c r="C10" s="26" t="n">
        <f aca="false">SUMIFS(Daten!F:F,Daten!A:A,"&gt;="&amp;$C$4,Daten!A:A,"&lt;="&amp;$E$4,Daten!B:B,IF($C$5="Alle","*",$C$5))</f>
        <v>1230</v>
      </c>
      <c r="D10" s="25"/>
      <c r="E10" s="25"/>
    </row>
    <row r="11" customFormat="false" ht="15" hidden="false" customHeight="true" outlineLevel="0" collapsed="false">
      <c r="B11" s="23" t="s">
        <v>22</v>
      </c>
      <c r="C11" s="26" t="n">
        <f aca="false">SUMIFS(Daten!G:G,Daten!A:A,"&gt;="&amp;$C$4,Daten!A:A,"&lt;="&amp;$E$4,Daten!B:B,IF($C$5="Alle","*",$C$5))</f>
        <v>1032</v>
      </c>
      <c r="D11" s="25"/>
      <c r="E11" s="25"/>
    </row>
    <row r="12" customFormat="false" ht="15" hidden="false" customHeight="true" outlineLevel="0" collapsed="false">
      <c r="B12" s="23" t="s">
        <v>23</v>
      </c>
      <c r="C12" s="26" t="n">
        <f aca="false">SUMIFS(Daten!H:H,Daten!A:A,"&gt;="&amp;$C$4,Daten!A:A,"&lt;="&amp;$E$4,Daten!B:B,IF($C$5="Alle","*",$C$5))</f>
        <v>245</v>
      </c>
      <c r="D12" s="25"/>
      <c r="E12" s="25"/>
    </row>
    <row r="13" customFormat="false" ht="15" hidden="false" customHeight="true" outlineLevel="0" collapsed="false">
      <c r="B13" s="23" t="s">
        <v>46</v>
      </c>
      <c r="C13" s="26" t="n">
        <f aca="false">SUMIFS(Daten!I:I,Daten!A:A,"&gt;="&amp;$C$4,Daten!A:A,"&lt;="&amp;$E$4,Daten!B:B,IF($C$5="Alle","*",$C$5))</f>
        <v>14</v>
      </c>
      <c r="D13" s="25"/>
      <c r="E13" s="25"/>
    </row>
    <row r="14" customFormat="false" ht="15" hidden="false" customHeight="true" outlineLevel="0" collapsed="false">
      <c r="B14" s="23" t="s">
        <v>25</v>
      </c>
      <c r="C14" s="26" t="n">
        <f aca="false">SUMIFS(Daten!J:J,Daten!A:A,"&gt;="&amp;$C$4,Daten!A:A,"&lt;="&amp;$E$4,Daten!B:B,IF($C$5="Alle","*",$C$5))</f>
        <v>3</v>
      </c>
      <c r="D14" s="25"/>
      <c r="E14" s="25"/>
    </row>
    <row r="15" customFormat="false" ht="15" hidden="false" customHeight="true" outlineLevel="0" collapsed="false">
      <c r="B15" s="23" t="s">
        <v>47</v>
      </c>
      <c r="C15" s="24" t="n">
        <f aca="false">ROUND(SUMIFS(Daten!K:K,Daten!A:A,"&gt;="&amp;$C$4,Daten!A:A,"&lt;="&amp;$E$4,Daten!B:B,IF($C$5="Alle","*",$C$5)),2)</f>
        <v>6078</v>
      </c>
      <c r="D15" s="25"/>
      <c r="E15" s="25"/>
    </row>
    <row r="16" customFormat="false" ht="15" hidden="false" customHeight="true" outlineLevel="0" collapsed="false">
      <c r="B16" s="27" t="s">
        <v>48</v>
      </c>
      <c r="C16" s="27"/>
      <c r="D16" s="27"/>
      <c r="E16" s="27"/>
    </row>
    <row r="17" customFormat="false" ht="15" hidden="false" customHeight="true" outlineLevel="0" collapsed="false">
      <c r="A17" s="22"/>
      <c r="B17" s="22" t="s">
        <v>41</v>
      </c>
      <c r="C17" s="22" t="s">
        <v>42</v>
      </c>
      <c r="D17" s="22" t="s">
        <v>43</v>
      </c>
      <c r="E17" s="22" t="s">
        <v>44</v>
      </c>
    </row>
    <row r="18" customFormat="false" ht="15" hidden="false" customHeight="true" outlineLevel="0" collapsed="false">
      <c r="B18" s="23" t="s">
        <v>49</v>
      </c>
      <c r="C18" s="24" t="n">
        <f aca="false">IFERROR(C8/C9*1000,0)</f>
        <v>6.48854961832061</v>
      </c>
      <c r="D18" s="28" t="s">
        <v>50</v>
      </c>
      <c r="E18" s="29" t="s">
        <v>50</v>
      </c>
    </row>
    <row r="19" customFormat="false" ht="15" hidden="false" customHeight="true" outlineLevel="0" collapsed="false">
      <c r="B19" s="23" t="s">
        <v>51</v>
      </c>
      <c r="C19" s="24" t="n">
        <f aca="false">IFERROR(C8/C10,0)</f>
        <v>0.345528455284553</v>
      </c>
      <c r="D19" s="28" t="s">
        <v>50</v>
      </c>
      <c r="E19" s="29" t="s">
        <v>50</v>
      </c>
    </row>
    <row r="20" customFormat="false" ht="15" hidden="false" customHeight="true" outlineLevel="0" collapsed="false">
      <c r="B20" s="23" t="s">
        <v>52</v>
      </c>
      <c r="C20" s="24" t="n">
        <f aca="false">IFERROR(C8/C12,0)</f>
        <v>1.73469387755102</v>
      </c>
      <c r="D20" s="28" t="s">
        <v>50</v>
      </c>
      <c r="E20" s="29" t="s">
        <v>50</v>
      </c>
    </row>
    <row r="21" customFormat="false" ht="15" hidden="false" customHeight="true" outlineLevel="0" collapsed="false">
      <c r="B21" s="23" t="s">
        <v>53</v>
      </c>
      <c r="C21" s="30" t="n">
        <f aca="false">IFERROR(C12/C11,0)</f>
        <v>0.237403100775194</v>
      </c>
      <c r="D21" s="28" t="s">
        <v>54</v>
      </c>
      <c r="E21" s="31" t="str">
        <f aca="false">IF(C21&gt;=0.4,"🟢 stark",IF(C21&gt;=0.25,"🟡 ok","🔴 Bottleneck"))</f>
        <v>🔴 Bottleneck</v>
      </c>
    </row>
    <row r="22" customFormat="false" ht="15" hidden="false" customHeight="true" outlineLevel="0" collapsed="false">
      <c r="B22" s="23" t="s">
        <v>55</v>
      </c>
      <c r="C22" s="30" t="n">
        <f aca="false">IFERROR(C14/C13,0)</f>
        <v>0.214285714285714</v>
      </c>
      <c r="D22" s="28" t="s">
        <v>56</v>
      </c>
      <c r="E22" s="31" t="str">
        <f aca="false">IF(C22&gt;=0.25,"🟢 stark",IF(C22&gt;=0.15,"🟡 ok","🔴 Bottleneck"))</f>
        <v>🟡 ok</v>
      </c>
    </row>
    <row r="23" customFormat="false" ht="15" hidden="false" customHeight="true" outlineLevel="0" collapsed="false">
      <c r="B23" s="23" t="s">
        <v>57</v>
      </c>
      <c r="C23" s="32" t="n">
        <f aca="false">IFERROR(C8/C14,0)</f>
        <v>141.666666666667</v>
      </c>
      <c r="D23" s="28" t="s">
        <v>50</v>
      </c>
      <c r="E23" s="29" t="s">
        <v>50</v>
      </c>
    </row>
    <row r="24" customFormat="false" ht="15" hidden="false" customHeight="true" outlineLevel="0" collapsed="false">
      <c r="B24" s="23" t="s">
        <v>58</v>
      </c>
      <c r="C24" s="33" t="n">
        <f aca="false">IFERROR(C15/C8,0)</f>
        <v>14.3011764705882</v>
      </c>
      <c r="D24" s="28" t="s">
        <v>59</v>
      </c>
      <c r="E24" s="31" t="str">
        <f aca="false">IF(C24&gt;=3,"🟢 stark",IF(C24&gt;=2,"🟡 ok","🔴 Bottleneck"))</f>
        <v>🟢 stark</v>
      </c>
    </row>
    <row r="26" customFormat="false" ht="27.75" hidden="false" customHeight="true" outlineLevel="0" collapsed="false">
      <c r="B26" s="34" t="s">
        <v>60</v>
      </c>
      <c r="C26" s="34"/>
      <c r="D26" s="34"/>
      <c r="E26" s="34"/>
    </row>
  </sheetData>
  <mergeCells count="5">
    <mergeCell ref="B1:E1"/>
    <mergeCell ref="B2:E2"/>
    <mergeCell ref="D5:E5"/>
    <mergeCell ref="B16:E16"/>
    <mergeCell ref="B26:E26"/>
  </mergeCells>
  <conditionalFormatting sqref="E18:E24">
    <cfRule type="expression" priority="2" aboveAverage="0" equalAverage="0" bottom="0" percent="0" rank="0" text="" dxfId="0">
      <formula>ISNUMBER(SEARCH("🟢",E18))</formula>
    </cfRule>
    <cfRule type="expression" priority="3" aboveAverage="0" equalAverage="0" bottom="0" percent="0" rank="0" text="" dxfId="1">
      <formula>ISNUMBER(SEARCH("🟡",E18))</formula>
    </cfRule>
    <cfRule type="expression" priority="4" aboveAverage="0" equalAverage="0" bottom="0" percent="0" rank="0" text="" dxfId="2">
      <formula>ISNUMBER(SEARCH("🔴",E18))</formula>
    </cfRule>
  </conditionalFormatting>
  <dataValidations count="1">
    <dataValidation allowBlank="true" errorStyle="stop" operator="between" showDropDown="false" showErrorMessage="false" showInputMessage="false" sqref="C5" type="list">
      <formula1>$H$1:$H$60</formula1>
      <formula2>0</formula2>
    </dataValidation>
  </dataValidations>
  <hyperlinks>
    <hyperlink ref="B26" r:id="rId1" display="Engpass gefunden? 📅 Lass ihn uns im Strategiegespräch lös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LibreOffice/25.8.7.3$MacOSX_AARCH64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2026-06-29T10:41:09Z</dcterms:created>
  <dc:creator>openpyxl</dc:creator>
  <dc:description/>
  <dc:language>de-DE</dc:language>
  <cp:lastModifiedBy/>
  <dcterms:modified xsi:type="dcterms:W3CDTF">2026-06-29T11:59:31Z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